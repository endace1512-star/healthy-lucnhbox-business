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a dinh" sheetId="1" state="visible" r:id="rId3"/>
    <sheet name="Von ban dau" sheetId="2" state="visible" r:id="rId4"/>
    <sheet name="Lai lo 6 thang" sheetId="3" state="visible" r:id="rId5"/>
    <sheet name="Kich ban thang 1" sheetId="4" state="visible" r:id="rId6"/>
    <sheet name="Giao ha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<sst xmlns="http://schemas.openxmlformats.org/spreadsheetml/2006/main" count="196" uniqueCount="156">
  <si>
    <t xml:space="preserve">GIẢ ĐỊNH (chỉ sửa ô chữ xanh)</t>
  </si>
  <si>
    <t xml:space="preserve">Chữ xanh = số nhập tay. Nền vàng = giả định quan trọng hoặc cần chốt. Chữ đen = công thức. Đơn vị: đồng.</t>
  </si>
  <si>
    <t xml:space="preserve">Giả định</t>
  </si>
  <si>
    <t xml:space="preserve">Giá trị</t>
  </si>
  <si>
    <t xml:space="preserve">Đơn vị</t>
  </si>
  <si>
    <t xml:space="preserve">Nguồn / ghi chú</t>
  </si>
  <si>
    <t xml:space="preserve">Giá bán</t>
  </si>
  <si>
    <t xml:space="preserve">Giá gói tháng / suất</t>
  </si>
  <si>
    <t xml:space="preserve">đồng</t>
  </si>
  <si>
    <t xml:space="preserve">Chủ dự án chốt 11/10/2026</t>
  </si>
  <si>
    <t xml:space="preserve">Giá gói tuần / suất</t>
  </si>
  <si>
    <t xml:space="preserve">Tỷ lệ suất bán theo gói tháng</t>
  </si>
  <si>
    <t xml:space="preserve">%</t>
  </si>
  <si>
    <t xml:space="preserve">ƯỚC TÍNH, cần chốt. Phần còn lại là gói tuần</t>
  </si>
  <si>
    <t xml:space="preserve">Giá bình quân / suất</t>
  </si>
  <si>
    <t xml:space="preserve">Công thức</t>
  </si>
  <si>
    <t xml:space="preserve">Số ngày bán / tháng</t>
  </si>
  <si>
    <t xml:space="preserve">ngày</t>
  </si>
  <si>
    <t xml:space="preserve">Thứ 2 đến thứ 6</t>
  </si>
  <si>
    <t xml:space="preserve">Chi phí biến đổi / suất (COGS)</t>
  </si>
  <si>
    <t xml:space="preserve">Nguyên liệu / suất</t>
  </si>
  <si>
    <t xml:space="preserve">ƯỚC TÍNH (17-25k). Cần cân thử khẩu phần</t>
  </si>
  <si>
    <t xml:space="preserve">Bao bì / suất (hộp, túi, nhãn, đũa)</t>
  </si>
  <si>
    <t xml:space="preserve">ƯỚC TÍNH</t>
  </si>
  <si>
    <t xml:space="preserve">Hao hụt (% nguyên liệu)</t>
  </si>
  <si>
    <t xml:space="preserve">ƯỚC TÍNH, đề xuất 3-5%</t>
  </si>
  <si>
    <t xml:space="preserve">Thuế khoán (% doanh thu)</t>
  </si>
  <si>
    <t xml:space="preserve">ĐÃ XÁC MINH: GTGT 3% + TNCN 1,5% (xem tom-tat-du-an.md mục 4)</t>
  </si>
  <si>
    <t xml:space="preserve">Phí thanh toán + tin nhắn ZNS / suất</t>
  </si>
  <si>
    <t xml:space="preserve">ƯỚC TÍNH (ZNS 200-300đ/tin)</t>
  </si>
  <si>
    <t xml:space="preserve">Phí shipper ngoài / suất</t>
  </si>
  <si>
    <t xml:space="preserve">Mặc định 0 vì tự giao. Nhập số nếu thuê ngoài</t>
  </si>
  <si>
    <t xml:space="preserve">Chi phí cố định / tháng (chưa gồm lương)</t>
  </si>
  <si>
    <t xml:space="preserve">Thuê mặt bằng</t>
  </si>
  <si>
    <t xml:space="preserve">Chủ dự án: 8-10 triệu. Lấy giữa 9 triệu</t>
  </si>
  <si>
    <t xml:space="preserve">Điện, nước, gas</t>
  </si>
  <si>
    <t xml:space="preserve">ƯỚC TÍNH, chưa có số thật</t>
  </si>
  <si>
    <t xml:space="preserve">Phần mềm (SePay, Zalo OA)</t>
  </si>
  <si>
    <t xml:space="preserve">ĐÃ XÁC MINH: 0-450k/tháng</t>
  </si>
  <si>
    <t xml:space="preserve">Xăng xe, bảo trì xe giao</t>
  </si>
  <si>
    <t xml:space="preserve">ƯỚC TÍNH, giao toàn TP.HCM nên có thể cao hơn</t>
  </si>
  <si>
    <t xml:space="preserve">Chi phí khác (vệ sinh, sửa chữa, văn phòng phẩm)</t>
  </si>
  <si>
    <t xml:space="preserve">Quảng cáo</t>
  </si>
  <si>
    <t xml:space="preserve">Ngân sách quảng cáo (% doanh thu của số suất mới cần thêm)</t>
  </si>
  <si>
    <t xml:space="preserve">Chủ dự án: 30% doanh thu của 50 suất mục tiêu tháng 1. Đủ đơn thì dừng</t>
  </si>
  <si>
    <t xml:space="preserve">Tỷ lệ suất mất đi mỗi tháng (khách không gia hạn)</t>
  </si>
  <si>
    <t xml:space="preserve">ƯỚC TÍNH, cần đo. Dùng để tính số suất phải bù bằng quảng cáo</t>
  </si>
  <si>
    <t xml:space="preserve">Khấu hao</t>
  </si>
  <si>
    <t xml:space="preserve">Số năm khấu hao máy</t>
  </si>
  <si>
    <t xml:space="preserve">năm</t>
  </si>
  <si>
    <t xml:space="preserve">Chỉ số tính sẵn</t>
  </si>
  <si>
    <t xml:space="preserve">Chi phí biến đổi / suất</t>
  </si>
  <si>
    <t xml:space="preserve">Nguyên liệu kể cả hao hụt + bao bì + thuế + phí + ship ngoài</t>
  </si>
  <si>
    <t xml:space="preserve">Lãi gộp / suất</t>
  </si>
  <si>
    <t xml:space="preserve">Giá bình quân - chi phí biến đổi</t>
  </si>
  <si>
    <t xml:space="preserve">Biên lãi gộp</t>
  </si>
  <si>
    <t xml:space="preserve">Chi phí cố định / tháng (chưa lương, chưa quảng cáo)</t>
  </si>
  <si>
    <t xml:space="preserve">VỐN BAN ĐẦU (ngân sách tối đa 200 triệu)</t>
  </si>
  <si>
    <t xml:space="preserve">Mục</t>
  </si>
  <si>
    <t xml:space="preserve">Số tiền (đồng)</t>
  </si>
  <si>
    <t xml:space="preserve">Cọc mặt bằng (số tháng)</t>
  </si>
  <si>
    <t xml:space="preserve">ƯỚC TÍNH, thường 2-3 tháng. Ô này là SỐ THÁNG</t>
  </si>
  <si>
    <t xml:space="preserve">Tiền cọc mặt bằng</t>
  </si>
  <si>
    <t xml:space="preserve">Số tháng cọc x tiền thuê</t>
  </si>
  <si>
    <t xml:space="preserve">Tiền thuê tháng chuẩn bị (trước khi bán)</t>
  </si>
  <si>
    <t xml:space="preserve">1 tháng cải tạo, lắp máy, nấu thử</t>
  </si>
  <si>
    <t xml:space="preserve">Cải tạo bếp: hút mùi, điện, PCCC, bồn rửa</t>
  </si>
  <si>
    <t xml:space="preserve">ƯỚC TÍNH, chưa khảo sát mặt bằng</t>
  </si>
  <si>
    <t xml:space="preserve">Bộ máy tối thiểu</t>
  </si>
  <si>
    <t xml:space="preserve">ĐÃ XÁC MINH giá (tom-tat-du-an.md mục 5), dùng tủ cơm điện</t>
  </si>
  <si>
    <t xml:space="preserve">Phụ kiện: bàn inox, cân, máy in nhãn, tủ lưu mẫu, dụng cụ</t>
  </si>
  <si>
    <t xml:space="preserve">ƯỚC TÍNH 10-20 triệu</t>
  </si>
  <si>
    <t xml:space="preserve">Giấy phép: thẩm định ATTP</t>
  </si>
  <si>
    <t xml:space="preserve">ĐÃ XÁC MINH (cơ sở từ 200 suất)</t>
  </si>
  <si>
    <t xml:space="preserve">Giấy phép: hộ kinh doanh, khám sức khỏe, tập huấn ATTP</t>
  </si>
  <si>
    <t xml:space="preserve">Branding: logo, nhãn, chụp ảnh món</t>
  </si>
  <si>
    <t xml:space="preserve">Hàng tồn ban đầu: đồ khô, gia vị, hộp, túi</t>
  </si>
  <si>
    <t xml:space="preserve">Nấu thử nội bộ (5 ngày x 20 suất)</t>
  </si>
  <si>
    <t xml:space="preserve">Theo đề xuất Soft open</t>
  </si>
  <si>
    <t xml:space="preserve">Quảng cáo Soft open (tuần trước khi bán)</t>
  </si>
  <si>
    <t xml:space="preserve">ƯỚC TÍNH. Quảng cáo tháng 1 tính riêng trong sheet Lai lo</t>
  </si>
  <si>
    <t xml:space="preserve">Vốn lưu động: chi phí cố định (số tháng)</t>
  </si>
  <si>
    <t xml:space="preserve">Đề xuất 2 tháng. Ô này là SỐ THÁNG</t>
  </si>
  <si>
    <t xml:space="preserve">Vốn lưu động</t>
  </si>
  <si>
    <t xml:space="preserve">Số tháng x chi phí cố định chưa lương</t>
  </si>
  <si>
    <t xml:space="preserve">Cộng (chưa dự phòng)</t>
  </si>
  <si>
    <t xml:space="preserve">Tỷ lệ dự phòng</t>
  </si>
  <si>
    <t xml:space="preserve">Đề xuất 10-15%</t>
  </si>
  <si>
    <t xml:space="preserve">Dự phòng</t>
  </si>
  <si>
    <t xml:space="preserve">TỔNG VỐN BAN ĐẦU</t>
  </si>
  <si>
    <t xml:space="preserve">Ngân sách tối đa</t>
  </si>
  <si>
    <t xml:space="preserve">Chủ dự án chốt</t>
  </si>
  <si>
    <t xml:space="preserve">Còn dư (+) / vượt (-)</t>
  </si>
  <si>
    <t xml:space="preserve">Khấu hao máy / tháng</t>
  </si>
  <si>
    <t xml:space="preserve">(Bộ máy + phụ kiện) / số tháng khấu hao</t>
  </si>
  <si>
    <t xml:space="preserve">LÃI LỖ 6 THÁNG THEO LỘ TRÌNH 50 → 100 → 200 SUẤT</t>
  </si>
  <si>
    <t xml:space="preserve">Lương đang để 0 theo yêu cầu. Nhập lương ở dòng 'Lương' khi có số.</t>
  </si>
  <si>
    <t xml:space="preserve">Chỉ tiêu (đồng)</t>
  </si>
  <si>
    <t xml:space="preserve">Tháng 1</t>
  </si>
  <si>
    <t xml:space="preserve">Tháng 2</t>
  </si>
  <si>
    <t xml:space="preserve">Tháng 3</t>
  </si>
  <si>
    <t xml:space="preserve">Tháng 4</t>
  </si>
  <si>
    <t xml:space="preserve">Tháng 5</t>
  </si>
  <si>
    <t xml:space="preserve">Tháng 6</t>
  </si>
  <si>
    <t xml:space="preserve">Ghi chú</t>
  </si>
  <si>
    <t xml:space="preserve">Suất / ngày (mục tiêu)</t>
  </si>
  <si>
    <t xml:space="preserve">Chủ dự án: 50 → 100 → 200. Tháng 4-6 giữ 200</t>
  </si>
  <si>
    <t xml:space="preserve">Doanh thu</t>
  </si>
  <si>
    <t xml:space="preserve">Suất x ngày x giá bình quân</t>
  </si>
  <si>
    <t xml:space="preserve">Chi phí biến đổi (COGS)</t>
  </si>
  <si>
    <t xml:space="preserve">Nguyên liệu, bao bì, hao hụt, thuế, phí</t>
  </si>
  <si>
    <t xml:space="preserve">Lãi gộp</t>
  </si>
  <si>
    <t xml:space="preserve">Suất mới cần thêm / ngày</t>
  </si>
  <si>
    <t xml:space="preserve">Mục tiêu - (tháng trước x (1 - tỷ lệ mất khách))</t>
  </si>
  <si>
    <t xml:space="preserve">30% doanh thu của số suất mới</t>
  </si>
  <si>
    <t xml:space="preserve">Chi phí cố định (chưa lương)</t>
  </si>
  <si>
    <t xml:space="preserve">Từ sheet Gia dinh</t>
  </si>
  <si>
    <t xml:space="preserve">EBITDA trước lương</t>
  </si>
  <si>
    <t xml:space="preserve">Lương</t>
  </si>
  <si>
    <t xml:space="preserve">CHƯA TÍNH theo yêu cầu. Nhập khi có số</t>
  </si>
  <si>
    <t xml:space="preserve">EBITDA</t>
  </si>
  <si>
    <t xml:space="preserve">Từ sheet Von ban dau</t>
  </si>
  <si>
    <t xml:space="preserve">Lãi ròng (trước lương nếu dòng Lương = 0)</t>
  </si>
  <si>
    <t xml:space="preserve">Lũy kế tiền thu về (EBITDA) trừ vốn ban đầu</t>
  </si>
  <si>
    <t xml:space="preserve">Số dương = đã hoàn vốn</t>
  </si>
  <si>
    <t xml:space="preserve">Tháng hoàn vốn (theo EBITDA)</t>
  </si>
  <si>
    <t xml:space="preserve">3 KỊCH BẢN THÁNG 1</t>
  </si>
  <si>
    <t xml:space="preserve">Quảng cáo tháng 1 cố định theo mục tiêu 50 suất, dù đạt bao nhiêu.</t>
  </si>
  <si>
    <t xml:space="preserve">Xấu</t>
  </si>
  <si>
    <t xml:space="preserve">Cơ sở</t>
  </si>
  <si>
    <t xml:space="preserve">Tốt</t>
  </si>
  <si>
    <t xml:space="preserve">Suất / ngày</t>
  </si>
  <si>
    <t xml:space="preserve">Xấu / cơ sở / tốt</t>
  </si>
  <si>
    <t xml:space="preserve">Quảng cáo (theo mục tiêu 50 suất)</t>
  </si>
  <si>
    <t xml:space="preserve">HÒA VỐN</t>
  </si>
  <si>
    <t xml:space="preserve">Hòa vốn trước lương, không quảng cáo (suất/ngày)</t>
  </si>
  <si>
    <t xml:space="preserve">Chi phí cố định / (lãi gộp/suất x ngày)</t>
  </si>
  <si>
    <t xml:space="preserve">Hòa vốn trước lương, có quảng cáo tháng 1 (suất/ngày)</t>
  </si>
  <si>
    <t xml:space="preserve">Lương giả định để tính thử (tổng / tháng)</t>
  </si>
  <si>
    <t xml:space="preserve">Nhập thử để xem hòa vốn có lương</t>
  </si>
  <si>
    <t xml:space="preserve">Hòa vốn có lương, không quảng cáo (suất/ngày)</t>
  </si>
  <si>
    <t xml:space="preserve">KIỂM TRA SỨC GIAO: 1 SHIPPER XE MÁY, TOÀN TP.HCM</t>
  </si>
  <si>
    <t xml:space="preserve">Chỉ tiêu</t>
  </si>
  <si>
    <t xml:space="preserve">Khung giờ giao (phút), 9:30-11:30</t>
  </si>
  <si>
    <t xml:space="preserve">Thời gian trung bình mỗi điểm giao (phút): đi + gửi xe + lên tòa nhà</t>
  </si>
  <si>
    <t xml:space="preserve">ƯỚC TÍNH, cần đo khi Soft open. Giao toàn TP.HCM nên có thể 20-30 phút</t>
  </si>
  <si>
    <t xml:space="preserve">Thời gian đi từ bếp (Q.8) tới điểm đầu tiên (phút)</t>
  </si>
  <si>
    <t xml:space="preserve">Sức chở 1 chuyến (suất)</t>
  </si>
  <si>
    <t xml:space="preserve">ƯỚC TÍNH theo 2 túi 70L + 2 túi đôi 90L, chưa đo</t>
  </si>
  <si>
    <t xml:space="preserve">Số shipper</t>
  </si>
  <si>
    <t xml:space="preserve">Số điểm giao được trong khung giờ</t>
  </si>
  <si>
    <t xml:space="preserve">Suất / ngày mục tiêu</t>
  </si>
  <si>
    <t xml:space="preserve">Số suất tối thiểu mỗi điểm để kịp giờ</t>
  </si>
  <si>
    <t xml:space="preserve">Nếu &gt; 1 thì phải gom nhiều suất vào 1 tòa nhà</t>
  </si>
  <si>
    <t xml:space="preserve">Số chuyến về bếp lấy hàng</t>
  </si>
  <si>
    <t xml:space="preserve">Mỗi lần quay về Q.8 mất thêm thời gian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</si>
</sst>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"/>
    <numFmt numFmtId="168" formatCode="#,##0"/>
    <numFmt numFmtId="169" formatCode="#,##0.0;\(#,##0.0\);\-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3"/>
    </row>
    <row r="2" customFormat="false" ht="39.55" hidden="false" customHeight="false" outlineLevel="0" collapsed="false">
      <c r="A2" s="4" t="s">
        <v>1</v>
      </c>
      <c r="B2" s="2"/>
      <c r="C2" s="2"/>
      <c r="D2" s="3"/>
    </row>
    <row r="3" customFormat="false" ht="15" hidden="false" customHeight="false" outlineLevel="0" collapsed="false">
      <c r="A3" s="3"/>
      <c r="B3" s="2"/>
      <c r="C3" s="2"/>
      <c r="D3" s="3"/>
    </row>
    <row r="4" customFormat="false" ht="15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false" outlineLevel="0" collapsed="false">
      <c r="A5" s="6" t="s">
        <v>6</v>
      </c>
      <c r="B5" s="7"/>
      <c r="C5" s="7"/>
      <c r="D5" s="8"/>
    </row>
    <row r="6" customFormat="false" ht="15" hidden="false" customHeight="false" outlineLevel="0" collapsed="false">
      <c r="A6" s="9" t="s">
        <v>7</v>
      </c>
      <c r="B6" s="10" t="n">
        <v>65000</v>
      </c>
      <c r="C6" s="11" t="s">
        <v>8</v>
      </c>
      <c r="D6" s="9" t="s">
        <v>9</v>
      </c>
    </row>
    <row r="7" customFormat="false" ht="15" hidden="false" customHeight="false" outlineLevel="0" collapsed="false">
      <c r="A7" s="9" t="s">
        <v>10</v>
      </c>
      <c r="B7" s="10" t="n">
        <v>70000</v>
      </c>
      <c r="C7" s="11" t="s">
        <v>8</v>
      </c>
      <c r="D7" s="9" t="s">
        <v>9</v>
      </c>
    </row>
    <row r="8" customFormat="false" ht="15" hidden="false" customHeight="false" outlineLevel="0" collapsed="false">
      <c r="A8" s="9" t="s">
        <v>11</v>
      </c>
      <c r="B8" s="12" t="n">
        <v>0.5</v>
      </c>
      <c r="C8" s="11" t="s">
        <v>12</v>
      </c>
      <c r="D8" s="9" t="s">
        <v>13</v>
      </c>
    </row>
    <row r="9" customFormat="false" ht="15" hidden="false" customHeight="false" outlineLevel="0" collapsed="false">
      <c r="A9" s="9" t="s">
        <v>14</v>
      </c>
      <c r="B9" s="13" t="n">
        <f aca="false">$B$6*$B$8+$B$7*(1-$B$8)</f>
        <v>67500</v>
      </c>
      <c r="C9" s="11" t="s">
        <v>8</v>
      </c>
      <c r="D9" s="9" t="s">
        <v>15</v>
      </c>
    </row>
    <row r="10" customFormat="false" ht="15" hidden="false" customHeight="false" outlineLevel="0" collapsed="false">
      <c r="A10" s="9" t="s">
        <v>16</v>
      </c>
      <c r="B10" s="14" t="n">
        <v>22</v>
      </c>
      <c r="C10" s="11" t="s">
        <v>17</v>
      </c>
      <c r="D10" s="9" t="s">
        <v>18</v>
      </c>
    </row>
    <row r="11" customFormat="false" ht="15" hidden="false" customHeight="false" outlineLevel="0" collapsed="false">
      <c r="A11" s="6" t="s">
        <v>19</v>
      </c>
      <c r="B11" s="7"/>
      <c r="C11" s="7"/>
      <c r="D11" s="8"/>
    </row>
    <row r="12" customFormat="false" ht="15" hidden="false" customHeight="false" outlineLevel="0" collapsed="false">
      <c r="A12" s="9" t="s">
        <v>20</v>
      </c>
      <c r="B12" s="15" t="n">
        <v>20000</v>
      </c>
      <c r="C12" s="11" t="s">
        <v>8</v>
      </c>
      <c r="D12" s="9" t="s">
        <v>21</v>
      </c>
    </row>
    <row r="13" customFormat="false" ht="15" hidden="false" customHeight="false" outlineLevel="0" collapsed="false">
      <c r="A13" s="9" t="s">
        <v>22</v>
      </c>
      <c r="B13" s="10" t="n">
        <v>4000</v>
      </c>
      <c r="C13" s="11" t="s">
        <v>8</v>
      </c>
      <c r="D13" s="9" t="s">
        <v>23</v>
      </c>
    </row>
    <row r="14" customFormat="false" ht="15" hidden="false" customHeight="false" outlineLevel="0" collapsed="false">
      <c r="A14" s="9" t="s">
        <v>24</v>
      </c>
      <c r="B14" s="16" t="n">
        <v>0.04</v>
      </c>
      <c r="C14" s="11" t="s">
        <v>12</v>
      </c>
      <c r="D14" s="9" t="s">
        <v>25</v>
      </c>
    </row>
    <row r="15" customFormat="false" ht="26.85" hidden="false" customHeight="false" outlineLevel="0" collapsed="false">
      <c r="A15" s="9" t="s">
        <v>26</v>
      </c>
      <c r="B15" s="16" t="n">
        <v>0.045</v>
      </c>
      <c r="C15" s="11" t="s">
        <v>12</v>
      </c>
      <c r="D15" s="9" t="s">
        <v>27</v>
      </c>
    </row>
    <row r="16" customFormat="false" ht="15" hidden="false" customHeight="false" outlineLevel="0" collapsed="false">
      <c r="A16" s="9" t="s">
        <v>28</v>
      </c>
      <c r="B16" s="10" t="n">
        <v>300</v>
      </c>
      <c r="C16" s="11" t="s">
        <v>8</v>
      </c>
      <c r="D16" s="9" t="s">
        <v>29</v>
      </c>
    </row>
    <row r="17" customFormat="false" ht="15" hidden="false" customHeight="false" outlineLevel="0" collapsed="false">
      <c r="A17" s="9" t="s">
        <v>30</v>
      </c>
      <c r="B17" s="10" t="n">
        <v>0</v>
      </c>
      <c r="C17" s="11" t="s">
        <v>8</v>
      </c>
      <c r="D17" s="9" t="s">
        <v>31</v>
      </c>
    </row>
    <row r="18" customFormat="false" ht="15" hidden="false" customHeight="false" outlineLevel="0" collapsed="false">
      <c r="A18" s="6" t="s">
        <v>32</v>
      </c>
      <c r="B18" s="7"/>
      <c r="C18" s="7"/>
      <c r="D18" s="8"/>
    </row>
    <row r="19" customFormat="false" ht="15" hidden="false" customHeight="false" outlineLevel="0" collapsed="false">
      <c r="A19" s="9" t="s">
        <v>33</v>
      </c>
      <c r="B19" s="10" t="n">
        <v>9000000</v>
      </c>
      <c r="C19" s="11" t="s">
        <v>8</v>
      </c>
      <c r="D19" s="9" t="s">
        <v>34</v>
      </c>
    </row>
    <row r="20" customFormat="false" ht="15" hidden="false" customHeight="false" outlineLevel="0" collapsed="false">
      <c r="A20" s="9" t="s">
        <v>35</v>
      </c>
      <c r="B20" s="15" t="n">
        <v>5000000</v>
      </c>
      <c r="C20" s="11" t="s">
        <v>8</v>
      </c>
      <c r="D20" s="9" t="s">
        <v>36</v>
      </c>
    </row>
    <row r="21" customFormat="false" ht="15" hidden="false" customHeight="false" outlineLevel="0" collapsed="false">
      <c r="A21" s="9" t="s">
        <v>37</v>
      </c>
      <c r="B21" s="10" t="n">
        <v>450000</v>
      </c>
      <c r="C21" s="11" t="s">
        <v>8</v>
      </c>
      <c r="D21" s="9" t="s">
        <v>38</v>
      </c>
    </row>
    <row r="22" customFormat="false" ht="15" hidden="false" customHeight="false" outlineLevel="0" collapsed="false">
      <c r="A22" s="9" t="s">
        <v>39</v>
      </c>
      <c r="B22" s="15" t="n">
        <v>1500000</v>
      </c>
      <c r="C22" s="11" t="s">
        <v>8</v>
      </c>
      <c r="D22" s="9" t="s">
        <v>40</v>
      </c>
    </row>
    <row r="23" customFormat="false" ht="26.85" hidden="false" customHeight="false" outlineLevel="0" collapsed="false">
      <c r="A23" s="9" t="s">
        <v>41</v>
      </c>
      <c r="B23" s="10" t="n">
        <v>2000000</v>
      </c>
      <c r="C23" s="11" t="s">
        <v>8</v>
      </c>
      <c r="D23" s="9" t="s">
        <v>23</v>
      </c>
    </row>
    <row r="24" customFormat="false" ht="15" hidden="false" customHeight="false" outlineLevel="0" collapsed="false">
      <c r="A24" s="6" t="s">
        <v>42</v>
      </c>
      <c r="B24" s="7"/>
      <c r="C24" s="7"/>
      <c r="D24" s="8"/>
    </row>
    <row r="25" customFormat="false" ht="26.85" hidden="false" customHeight="false" outlineLevel="0" collapsed="false">
      <c r="A25" s="9" t="s">
        <v>43</v>
      </c>
      <c r="B25" s="16" t="n">
        <v>0.3</v>
      </c>
      <c r="C25" s="11" t="s">
        <v>12</v>
      </c>
      <c r="D25" s="9" t="s">
        <v>44</v>
      </c>
    </row>
    <row r="26" customFormat="false" ht="26.85" hidden="false" customHeight="false" outlineLevel="0" collapsed="false">
      <c r="A26" s="9" t="s">
        <v>45</v>
      </c>
      <c r="B26" s="12" t="n">
        <v>0.2</v>
      </c>
      <c r="C26" s="11" t="s">
        <v>12</v>
      </c>
      <c r="D26" s="9" t="s">
        <v>46</v>
      </c>
    </row>
    <row r="27" customFormat="false" ht="15" hidden="false" customHeight="false" outlineLevel="0" collapsed="false">
      <c r="A27" s="6" t="s">
        <v>47</v>
      </c>
      <c r="B27" s="7"/>
      <c r="C27" s="7"/>
      <c r="D27" s="8"/>
    </row>
    <row r="28" customFormat="false" ht="15" hidden="false" customHeight="false" outlineLevel="0" collapsed="false">
      <c r="A28" s="9" t="s">
        <v>48</v>
      </c>
      <c r="B28" s="14" t="n">
        <v>4</v>
      </c>
      <c r="C28" s="11" t="s">
        <v>49</v>
      </c>
      <c r="D28" s="9" t="s">
        <v>23</v>
      </c>
    </row>
    <row r="29" customFormat="false" ht="15" hidden="false" customHeight="false" outlineLevel="0" collapsed="false">
      <c r="A29" s="3"/>
      <c r="B29" s="2"/>
      <c r="C29" s="2"/>
      <c r="D29" s="3"/>
    </row>
    <row r="30" customFormat="false" ht="15" hidden="false" customHeight="false" outlineLevel="0" collapsed="false">
      <c r="A30" s="6" t="s">
        <v>50</v>
      </c>
      <c r="B30" s="7"/>
      <c r="C30" s="7"/>
      <c r="D30" s="8"/>
    </row>
    <row r="31" customFormat="false" ht="15" hidden="false" customHeight="false" outlineLevel="0" collapsed="false">
      <c r="A31" s="9" t="s">
        <v>51</v>
      </c>
      <c r="B31" s="13" t="n">
        <f aca="false">($B$12*(1+$B$14))+$B$13+$B$9*$B$15+$B$16+$B$17</f>
        <v>28137.5</v>
      </c>
      <c r="C31" s="2"/>
      <c r="D31" s="9" t="s">
        <v>52</v>
      </c>
    </row>
    <row r="32" customFormat="false" ht="15" hidden="false" customHeight="false" outlineLevel="0" collapsed="false">
      <c r="A32" s="9" t="s">
        <v>53</v>
      </c>
      <c r="B32" s="13" t="n">
        <f aca="false">$B$9-B31</f>
        <v>39362.5</v>
      </c>
      <c r="C32" s="2"/>
      <c r="D32" s="9" t="s">
        <v>54</v>
      </c>
    </row>
    <row r="33" customFormat="false" ht="15" hidden="false" customHeight="false" outlineLevel="0" collapsed="false">
      <c r="A33" s="9" t="s">
        <v>55</v>
      </c>
      <c r="B33" s="17" t="n">
        <f aca="false">IF($B$9=0,0,B32/$B$9)</f>
        <v>0.583148148148148</v>
      </c>
      <c r="C33" s="2"/>
      <c r="D33" s="9"/>
    </row>
    <row r="34" customFormat="false" ht="26.85" hidden="false" customHeight="false" outlineLevel="0" collapsed="false">
      <c r="A34" s="9" t="s">
        <v>56</v>
      </c>
      <c r="B34" s="13" t="n">
        <f aca="false">$B$19+$B$20+$B$21+$B$22+$B$23</f>
        <v>17950000</v>
      </c>
      <c r="C34" s="2"/>
      <c r="D3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2.8" hidden="false" customHeight="false" outlineLevel="0" collapsed="false">
      <c r="A1" s="1" t="s">
        <v>57</v>
      </c>
      <c r="B1" s="2"/>
      <c r="C1" s="2"/>
    </row>
    <row r="2" customFormat="false" ht="15" hidden="false" customHeight="false" outlineLevel="0" collapsed="false">
      <c r="A2" s="3"/>
      <c r="B2" s="2"/>
      <c r="C2" s="2"/>
    </row>
    <row r="3" customFormat="false" ht="15" hidden="false" customHeight="false" outlineLevel="0" collapsed="false">
      <c r="A3" s="5" t="s">
        <v>58</v>
      </c>
      <c r="B3" s="5" t="s">
        <v>59</v>
      </c>
      <c r="C3" s="5" t="s">
        <v>5</v>
      </c>
    </row>
    <row r="4" customFormat="false" ht="15" hidden="false" customHeight="false" outlineLevel="0" collapsed="false">
      <c r="A4" s="9" t="s">
        <v>60</v>
      </c>
      <c r="B4" s="18" t="n">
        <v>2</v>
      </c>
      <c r="C4" s="11" t="s">
        <v>61</v>
      </c>
    </row>
    <row r="5" customFormat="false" ht="15" hidden="false" customHeight="false" outlineLevel="0" collapsed="false">
      <c r="A5" s="9" t="s">
        <v>62</v>
      </c>
      <c r="B5" s="13" t="n">
        <f aca="false">B4*'Gia dinh'!$B$19</f>
        <v>18000000</v>
      </c>
      <c r="C5" s="11" t="s">
        <v>63</v>
      </c>
    </row>
    <row r="6" customFormat="false" ht="15" hidden="false" customHeight="false" outlineLevel="0" collapsed="false">
      <c r="A6" s="9" t="s">
        <v>64</v>
      </c>
      <c r="B6" s="13" t="n">
        <f aca="false">'Gia dinh'!$B$19</f>
        <v>9000000</v>
      </c>
      <c r="C6" s="11" t="s">
        <v>65</v>
      </c>
    </row>
    <row r="7" customFormat="false" ht="15" hidden="false" customHeight="false" outlineLevel="0" collapsed="false">
      <c r="A7" s="9" t="s">
        <v>66</v>
      </c>
      <c r="B7" s="15" t="n">
        <v>20000000</v>
      </c>
      <c r="C7" s="11" t="s">
        <v>67</v>
      </c>
    </row>
    <row r="8" customFormat="false" ht="15" hidden="false" customHeight="false" outlineLevel="0" collapsed="false">
      <c r="A8" s="9" t="s">
        <v>68</v>
      </c>
      <c r="B8" s="10" t="n">
        <v>58660000</v>
      </c>
      <c r="C8" s="11" t="s">
        <v>69</v>
      </c>
    </row>
    <row r="9" customFormat="false" ht="26.85" hidden="false" customHeight="false" outlineLevel="0" collapsed="false">
      <c r="A9" s="9" t="s">
        <v>70</v>
      </c>
      <c r="B9" s="10" t="n">
        <v>15000000</v>
      </c>
      <c r="C9" s="11" t="s">
        <v>71</v>
      </c>
    </row>
    <row r="10" customFormat="false" ht="15" hidden="false" customHeight="false" outlineLevel="0" collapsed="false">
      <c r="A10" s="9" t="s">
        <v>72</v>
      </c>
      <c r="B10" s="10" t="n">
        <v>1000000</v>
      </c>
      <c r="C10" s="11" t="s">
        <v>73</v>
      </c>
    </row>
    <row r="11" customFormat="false" ht="26.85" hidden="false" customHeight="false" outlineLevel="0" collapsed="false">
      <c r="A11" s="9" t="s">
        <v>74</v>
      </c>
      <c r="B11" s="10" t="n">
        <v>2000000</v>
      </c>
      <c r="C11" s="11" t="s">
        <v>23</v>
      </c>
    </row>
    <row r="12" customFormat="false" ht="15" hidden="false" customHeight="false" outlineLevel="0" collapsed="false">
      <c r="A12" s="9" t="s">
        <v>75</v>
      </c>
      <c r="B12" s="10" t="n">
        <v>5000000</v>
      </c>
      <c r="C12" s="11" t="s">
        <v>23</v>
      </c>
    </row>
    <row r="13" customFormat="false" ht="15" hidden="false" customHeight="false" outlineLevel="0" collapsed="false">
      <c r="A13" s="9" t="s">
        <v>76</v>
      </c>
      <c r="B13" s="10" t="n">
        <v>5000000</v>
      </c>
      <c r="C13" s="11" t="s">
        <v>23</v>
      </c>
    </row>
    <row r="14" customFormat="false" ht="15" hidden="false" customHeight="false" outlineLevel="0" collapsed="false">
      <c r="A14" s="9" t="s">
        <v>77</v>
      </c>
      <c r="B14" s="13" t="n">
        <f aca="false">5*20*('Gia dinh'!$B$12+'Gia dinh'!$B$13)</f>
        <v>2400000</v>
      </c>
      <c r="C14" s="11" t="s">
        <v>78</v>
      </c>
    </row>
    <row r="15" customFormat="false" ht="15" hidden="false" customHeight="false" outlineLevel="0" collapsed="false">
      <c r="A15" s="9" t="s">
        <v>79</v>
      </c>
      <c r="B15" s="15" t="n">
        <v>5000000</v>
      </c>
      <c r="C15" s="11" t="s">
        <v>80</v>
      </c>
    </row>
    <row r="16" customFormat="false" ht="15" hidden="false" customHeight="false" outlineLevel="0" collapsed="false">
      <c r="A16" s="9" t="s">
        <v>81</v>
      </c>
      <c r="B16" s="14" t="n">
        <v>2</v>
      </c>
      <c r="C16" s="11" t="s">
        <v>82</v>
      </c>
    </row>
    <row r="17" customFormat="false" ht="15" hidden="false" customHeight="false" outlineLevel="0" collapsed="false">
      <c r="A17" s="9" t="s">
        <v>83</v>
      </c>
      <c r="B17" s="13" t="n">
        <f aca="false">B16*'Gia dinh'!$B$34</f>
        <v>35900000</v>
      </c>
      <c r="C17" s="11" t="s">
        <v>84</v>
      </c>
    </row>
    <row r="18" customFormat="false" ht="15" hidden="false" customHeight="false" outlineLevel="0" collapsed="false">
      <c r="A18" s="19" t="s">
        <v>85</v>
      </c>
      <c r="B18" s="20" t="n">
        <f aca="false">B5+B6+B7+B8+B9+B10+B11+B12+B13+B14+B15+B17</f>
        <v>176960000</v>
      </c>
      <c r="C18" s="2"/>
    </row>
    <row r="19" customFormat="false" ht="15" hidden="false" customHeight="false" outlineLevel="0" collapsed="false">
      <c r="A19" s="9" t="s">
        <v>86</v>
      </c>
      <c r="B19" s="16" t="n">
        <v>0.1</v>
      </c>
      <c r="C19" s="11" t="s">
        <v>87</v>
      </c>
    </row>
    <row r="20" customFormat="false" ht="15" hidden="false" customHeight="false" outlineLevel="0" collapsed="false">
      <c r="A20" s="9" t="s">
        <v>88</v>
      </c>
      <c r="B20" s="21" t="n">
        <f aca="false">B18*B19</f>
        <v>17696000</v>
      </c>
      <c r="C20" s="2"/>
    </row>
    <row r="21" customFormat="false" ht="15" hidden="false" customHeight="false" outlineLevel="0" collapsed="false">
      <c r="A21" s="19" t="s">
        <v>89</v>
      </c>
      <c r="B21" s="20" t="n">
        <f aca="false">B18+B20</f>
        <v>194656000</v>
      </c>
      <c r="C21" s="2"/>
    </row>
    <row r="22" customFormat="false" ht="15" hidden="false" customHeight="false" outlineLevel="0" collapsed="false">
      <c r="A22" s="9" t="s">
        <v>90</v>
      </c>
      <c r="B22" s="10" t="n">
        <v>200000000</v>
      </c>
      <c r="C22" s="11" t="s">
        <v>91</v>
      </c>
    </row>
    <row r="23" customFormat="false" ht="15" hidden="false" customHeight="false" outlineLevel="0" collapsed="false">
      <c r="A23" s="19" t="s">
        <v>92</v>
      </c>
      <c r="B23" s="20" t="n">
        <f aca="false">B22-B21</f>
        <v>5344000</v>
      </c>
      <c r="C23" s="2"/>
    </row>
    <row r="24" customFormat="false" ht="15" hidden="false" customHeight="false" outlineLevel="0" collapsed="false">
      <c r="A24" s="9" t="s">
        <v>93</v>
      </c>
      <c r="B24" s="21" t="n">
        <f aca="false">('Von ban dau'!$B$8+'Von ban dau'!$B$9)/('Gia dinh'!$B$28*12)</f>
        <v>1534583.33333333</v>
      </c>
      <c r="C24" s="1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  <col collapsed="false" customWidth="true" hidden="false" outlineLevel="0" max="8" min="8" style="0" width="50"/>
  </cols>
  <sheetData>
    <row r="1" customFormat="false" ht="32.8" hidden="false" customHeight="false" outlineLevel="0" collapsed="false">
      <c r="A1" s="1" t="s">
        <v>95</v>
      </c>
      <c r="B1" s="2"/>
      <c r="C1" s="2"/>
      <c r="D1" s="2"/>
      <c r="E1" s="2"/>
      <c r="F1" s="2"/>
      <c r="G1" s="2"/>
      <c r="H1" s="2"/>
    </row>
    <row r="2" customFormat="false" ht="26.85" hidden="false" customHeight="false" outlineLevel="0" collapsed="false">
      <c r="A2" s="4" t="s">
        <v>96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 t="s">
        <v>97</v>
      </c>
      <c r="B4" s="5" t="s">
        <v>98</v>
      </c>
      <c r="C4" s="5" t="s">
        <v>99</v>
      </c>
      <c r="D4" s="5" t="s">
        <v>100</v>
      </c>
      <c r="E4" s="5" t="s">
        <v>101</v>
      </c>
      <c r="F4" s="5" t="s">
        <v>102</v>
      </c>
      <c r="G4" s="5" t="s">
        <v>103</v>
      </c>
      <c r="H4" s="5" t="s">
        <v>104</v>
      </c>
    </row>
    <row r="5" customFormat="false" ht="15" hidden="false" customHeight="false" outlineLevel="0" collapsed="false">
      <c r="A5" s="9" t="s">
        <v>105</v>
      </c>
      <c r="B5" s="14" t="n">
        <v>50</v>
      </c>
      <c r="C5" s="14" t="n">
        <v>100</v>
      </c>
      <c r="D5" s="14" t="n">
        <v>200</v>
      </c>
      <c r="E5" s="14" t="n">
        <v>200</v>
      </c>
      <c r="F5" s="14" t="n">
        <v>200</v>
      </c>
      <c r="G5" s="14" t="n">
        <v>200</v>
      </c>
      <c r="H5" s="11" t="s">
        <v>106</v>
      </c>
    </row>
    <row r="6" customFormat="false" ht="15" hidden="false" customHeight="false" outlineLevel="0" collapsed="false">
      <c r="A6" s="9" t="s">
        <v>107</v>
      </c>
      <c r="B6" s="13" t="n">
        <f aca="false">B5*'Gia dinh'!$B$10*'Gia dinh'!$B$9</f>
        <v>74250000</v>
      </c>
      <c r="C6" s="13" t="n">
        <f aca="false">C5*'Gia dinh'!$B$10*'Gia dinh'!$B$9</f>
        <v>148500000</v>
      </c>
      <c r="D6" s="13" t="n">
        <f aca="false">D5*'Gia dinh'!$B$10*'Gia dinh'!$B$9</f>
        <v>297000000</v>
      </c>
      <c r="E6" s="13" t="n">
        <f aca="false">E5*'Gia dinh'!$B$10*'Gia dinh'!$B$9</f>
        <v>297000000</v>
      </c>
      <c r="F6" s="13" t="n">
        <f aca="false">F5*'Gia dinh'!$B$10*'Gia dinh'!$B$9</f>
        <v>297000000</v>
      </c>
      <c r="G6" s="13" t="n">
        <f aca="false">G5*'Gia dinh'!$B$10*'Gia dinh'!$B$9</f>
        <v>297000000</v>
      </c>
      <c r="H6" s="11" t="s">
        <v>108</v>
      </c>
    </row>
    <row r="7" customFormat="false" ht="15" hidden="false" customHeight="false" outlineLevel="0" collapsed="false">
      <c r="A7" s="9" t="s">
        <v>109</v>
      </c>
      <c r="B7" s="13" t="n">
        <f aca="false">B5*'Gia dinh'!$B$10*'Gia dinh'!$B$31</f>
        <v>30951250</v>
      </c>
      <c r="C7" s="13" t="n">
        <f aca="false">C5*'Gia dinh'!$B$10*'Gia dinh'!$B$31</f>
        <v>61902500</v>
      </c>
      <c r="D7" s="13" t="n">
        <f aca="false">D5*'Gia dinh'!$B$10*'Gia dinh'!$B$31</f>
        <v>123805000</v>
      </c>
      <c r="E7" s="13" t="n">
        <f aca="false">E5*'Gia dinh'!$B$10*'Gia dinh'!$B$31</f>
        <v>123805000</v>
      </c>
      <c r="F7" s="13" t="n">
        <f aca="false">F5*'Gia dinh'!$B$10*'Gia dinh'!$B$31</f>
        <v>123805000</v>
      </c>
      <c r="G7" s="13" t="n">
        <f aca="false">G5*'Gia dinh'!$B$10*'Gia dinh'!$B$31</f>
        <v>123805000</v>
      </c>
      <c r="H7" s="11" t="s">
        <v>110</v>
      </c>
    </row>
    <row r="8" customFormat="false" ht="15" hidden="false" customHeight="false" outlineLevel="0" collapsed="false">
      <c r="A8" s="19" t="s">
        <v>111</v>
      </c>
      <c r="B8" s="20" t="n">
        <f aca="false">B6-B7</f>
        <v>43298750</v>
      </c>
      <c r="C8" s="20" t="n">
        <f aca="false">C6-C7</f>
        <v>86597500</v>
      </c>
      <c r="D8" s="20" t="n">
        <f aca="false">D6-D7</f>
        <v>173195000</v>
      </c>
      <c r="E8" s="20" t="n">
        <f aca="false">E6-E7</f>
        <v>173195000</v>
      </c>
      <c r="F8" s="20" t="n">
        <f aca="false">F6-F7</f>
        <v>173195000</v>
      </c>
      <c r="G8" s="20" t="n">
        <f aca="false">G6-G7</f>
        <v>173195000</v>
      </c>
      <c r="H8" s="11"/>
    </row>
    <row r="9" customFormat="false" ht="15" hidden="false" customHeight="false" outlineLevel="0" collapsed="false">
      <c r="A9" s="9" t="s">
        <v>55</v>
      </c>
      <c r="B9" s="17" t="n">
        <f aca="false">IF(B6=0,0,B8/B6)</f>
        <v>0.583148148148148</v>
      </c>
      <c r="C9" s="17" t="n">
        <f aca="false">IF(C6=0,0,C8/C6)</f>
        <v>0.583148148148148</v>
      </c>
      <c r="D9" s="17" t="n">
        <f aca="false">IF(D6=0,0,D8/D6)</f>
        <v>0.583148148148148</v>
      </c>
      <c r="E9" s="17" t="n">
        <f aca="false">IF(E6=0,0,E8/E6)</f>
        <v>0.583148148148148</v>
      </c>
      <c r="F9" s="17" t="n">
        <f aca="false">IF(F6=0,0,F8/F6)</f>
        <v>0.583148148148148</v>
      </c>
      <c r="G9" s="17" t="n">
        <f aca="false">IF(G6=0,0,G8/G6)</f>
        <v>0.583148148148148</v>
      </c>
      <c r="H9" s="11"/>
    </row>
    <row r="10" customFormat="false" ht="15" hidden="false" customHeight="false" outlineLevel="0" collapsed="false">
      <c r="A10" s="9" t="s">
        <v>112</v>
      </c>
      <c r="B10" s="22" t="n">
        <f aca="false">MAX(0,B5)</f>
        <v>50</v>
      </c>
      <c r="C10" s="22" t="n">
        <f aca="false">MAX(0,C5-B5*(1-'Gia dinh'!$B$26))</f>
        <v>60</v>
      </c>
      <c r="D10" s="22" t="n">
        <f aca="false">MAX(0,D5-C5*(1-'Gia dinh'!$B$26))</f>
        <v>120</v>
      </c>
      <c r="E10" s="22" t="n">
        <f aca="false">MAX(0,E5-D5*(1-'Gia dinh'!$B$26))</f>
        <v>40</v>
      </c>
      <c r="F10" s="22" t="n">
        <f aca="false">MAX(0,F5-E5*(1-'Gia dinh'!$B$26))</f>
        <v>40</v>
      </c>
      <c r="G10" s="22" t="n">
        <f aca="false">MAX(0,G5-F5*(1-'Gia dinh'!$B$26))</f>
        <v>40</v>
      </c>
      <c r="H10" s="11" t="s">
        <v>113</v>
      </c>
    </row>
    <row r="11" customFormat="false" ht="15" hidden="false" customHeight="false" outlineLevel="0" collapsed="false">
      <c r="A11" s="9" t="s">
        <v>42</v>
      </c>
      <c r="B11" s="13" t="n">
        <f aca="false">B10*'Gia dinh'!$B$10*'Gia dinh'!$B$9*'Gia dinh'!$B$25</f>
        <v>22275000</v>
      </c>
      <c r="C11" s="13" t="n">
        <f aca="false">C10*'Gia dinh'!$B$10*'Gia dinh'!$B$9*'Gia dinh'!$B$25</f>
        <v>26730000</v>
      </c>
      <c r="D11" s="13" t="n">
        <f aca="false">D10*'Gia dinh'!$B$10*'Gia dinh'!$B$9*'Gia dinh'!$B$25</f>
        <v>53460000</v>
      </c>
      <c r="E11" s="13" t="n">
        <f aca="false">E10*'Gia dinh'!$B$10*'Gia dinh'!$B$9*'Gia dinh'!$B$25</f>
        <v>17820000</v>
      </c>
      <c r="F11" s="13" t="n">
        <f aca="false">F10*'Gia dinh'!$B$10*'Gia dinh'!$B$9*'Gia dinh'!$B$25</f>
        <v>17820000</v>
      </c>
      <c r="G11" s="13" t="n">
        <f aca="false">G10*'Gia dinh'!$B$10*'Gia dinh'!$B$9*'Gia dinh'!$B$25</f>
        <v>17820000</v>
      </c>
      <c r="H11" s="11" t="s">
        <v>114</v>
      </c>
    </row>
    <row r="12" customFormat="false" ht="15" hidden="false" customHeight="false" outlineLevel="0" collapsed="false">
      <c r="A12" s="9" t="s">
        <v>115</v>
      </c>
      <c r="B12" s="23" t="n">
        <f aca="false">'Gia dinh'!$B$34</f>
        <v>17950000</v>
      </c>
      <c r="C12" s="23" t="n">
        <f aca="false">'Gia dinh'!$B$34</f>
        <v>17950000</v>
      </c>
      <c r="D12" s="23" t="n">
        <f aca="false">'Gia dinh'!$B$34</f>
        <v>17950000</v>
      </c>
      <c r="E12" s="23" t="n">
        <f aca="false">'Gia dinh'!$B$34</f>
        <v>17950000</v>
      </c>
      <c r="F12" s="23" t="n">
        <f aca="false">'Gia dinh'!$B$34</f>
        <v>17950000</v>
      </c>
      <c r="G12" s="23" t="n">
        <f aca="false">'Gia dinh'!$B$34</f>
        <v>17950000</v>
      </c>
      <c r="H12" s="11" t="s">
        <v>116</v>
      </c>
    </row>
    <row r="13" customFormat="false" ht="15" hidden="false" customHeight="false" outlineLevel="0" collapsed="false">
      <c r="A13" s="19" t="s">
        <v>117</v>
      </c>
      <c r="B13" s="20" t="n">
        <f aca="false">B8-B11-B12</f>
        <v>3073750</v>
      </c>
      <c r="C13" s="20" t="n">
        <f aca="false">C8-C11-C12</f>
        <v>41917500</v>
      </c>
      <c r="D13" s="20" t="n">
        <f aca="false">D8-D11-D12</f>
        <v>101785000</v>
      </c>
      <c r="E13" s="20" t="n">
        <f aca="false">E8-E11-E12</f>
        <v>137425000</v>
      </c>
      <c r="F13" s="20" t="n">
        <f aca="false">F8-F11-F12</f>
        <v>137425000</v>
      </c>
      <c r="G13" s="20" t="n">
        <f aca="false">G8-G11-G12</f>
        <v>137425000</v>
      </c>
      <c r="H13" s="11"/>
    </row>
    <row r="14" customFormat="false" ht="15" hidden="false" customHeight="false" outlineLevel="0" collapsed="false">
      <c r="A14" s="9" t="s">
        <v>118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1" t="s">
        <v>119</v>
      </c>
    </row>
    <row r="15" customFormat="false" ht="15" hidden="false" customHeight="false" outlineLevel="0" collapsed="false">
      <c r="A15" s="19" t="s">
        <v>120</v>
      </c>
      <c r="B15" s="20" t="n">
        <f aca="false">B13-B14</f>
        <v>3073750</v>
      </c>
      <c r="C15" s="20" t="n">
        <f aca="false">C13-C14</f>
        <v>41917500</v>
      </c>
      <c r="D15" s="20" t="n">
        <f aca="false">D13-D14</f>
        <v>101785000</v>
      </c>
      <c r="E15" s="20" t="n">
        <f aca="false">E13-E14</f>
        <v>137425000</v>
      </c>
      <c r="F15" s="20" t="n">
        <f aca="false">F13-F14</f>
        <v>137425000</v>
      </c>
      <c r="G15" s="20" t="n">
        <f aca="false">G13-G14</f>
        <v>137425000</v>
      </c>
      <c r="H15" s="11"/>
    </row>
    <row r="16" customFormat="false" ht="15" hidden="false" customHeight="false" outlineLevel="0" collapsed="false">
      <c r="A16" s="9" t="s">
        <v>47</v>
      </c>
      <c r="B16" s="23" t="n">
        <f aca="false">'Von ban dau'!$B$24</f>
        <v>1534583.33333333</v>
      </c>
      <c r="C16" s="23" t="n">
        <f aca="false">'Von ban dau'!$B$24</f>
        <v>1534583.33333333</v>
      </c>
      <c r="D16" s="23" t="n">
        <f aca="false">'Von ban dau'!$B$24</f>
        <v>1534583.33333333</v>
      </c>
      <c r="E16" s="23" t="n">
        <f aca="false">'Von ban dau'!$B$24</f>
        <v>1534583.33333333</v>
      </c>
      <c r="F16" s="23" t="n">
        <f aca="false">'Von ban dau'!$B$24</f>
        <v>1534583.33333333</v>
      </c>
      <c r="G16" s="23" t="n">
        <f aca="false">'Von ban dau'!$B$24</f>
        <v>1534583.33333333</v>
      </c>
      <c r="H16" s="11" t="s">
        <v>121</v>
      </c>
    </row>
    <row r="17" customFormat="false" ht="15" hidden="false" customHeight="false" outlineLevel="0" collapsed="false">
      <c r="A17" s="19" t="s">
        <v>122</v>
      </c>
      <c r="B17" s="20" t="n">
        <f aca="false">B15-B16</f>
        <v>1539166.66666667</v>
      </c>
      <c r="C17" s="20" t="n">
        <f aca="false">C15-C16</f>
        <v>40382916.6666667</v>
      </c>
      <c r="D17" s="20" t="n">
        <f aca="false">D15-D16</f>
        <v>100250416.666667</v>
      </c>
      <c r="E17" s="20" t="n">
        <f aca="false">E15-E16</f>
        <v>135890416.666667</v>
      </c>
      <c r="F17" s="20" t="n">
        <f aca="false">F15-F16</f>
        <v>135890416.666667</v>
      </c>
      <c r="G17" s="20" t="n">
        <f aca="false">G15-G16</f>
        <v>135890416.666667</v>
      </c>
      <c r="H17" s="11"/>
    </row>
    <row r="18" customFormat="false" ht="15" hidden="false" customHeight="false" outlineLevel="0" collapsed="false">
      <c r="A18" s="9" t="s">
        <v>123</v>
      </c>
      <c r="B18" s="13" t="n">
        <f aca="false">-'Von ban dau'!$B$21+B15</f>
        <v>-191582250</v>
      </c>
      <c r="C18" s="13" t="n">
        <f aca="false">B18+C15</f>
        <v>-149664750</v>
      </c>
      <c r="D18" s="13" t="n">
        <f aca="false">C18+D15</f>
        <v>-47879750</v>
      </c>
      <c r="E18" s="13" t="n">
        <f aca="false">D18+E15</f>
        <v>89545250</v>
      </c>
      <c r="F18" s="13" t="n">
        <f aca="false">E18+F15</f>
        <v>226970250</v>
      </c>
      <c r="G18" s="13" t="n">
        <f aca="false">F18+G15</f>
        <v>364395250</v>
      </c>
      <c r="H18" s="11" t="s">
        <v>124</v>
      </c>
    </row>
    <row r="19" customFormat="false" ht="15" hidden="false" customHeight="false" outlineLevel="0" collapsed="false">
      <c r="A19" s="3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19" t="s">
        <v>125</v>
      </c>
      <c r="B20" s="24" t="str">
        <f aca="false">IFERROR(INDEX($B$4:$G$4,MATCH(TRUE(),INDEX($B$18:$G$18&gt;=0,0),0)),"Chưa hoàn vốn trong 6 tháng")</f>
        <v>Tháng 4</v>
      </c>
      <c r="C20" s="2"/>
      <c r="D20" s="2"/>
      <c r="E20" s="2"/>
      <c r="F20" s="2"/>
      <c r="G20" s="2"/>
      <c r="H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126</v>
      </c>
      <c r="B1" s="2"/>
      <c r="C1" s="2"/>
      <c r="D1" s="2"/>
      <c r="E1" s="2"/>
    </row>
    <row r="2" customFormat="false" ht="26.85" hidden="false" customHeight="false" outlineLevel="0" collapsed="false">
      <c r="A2" s="4" t="s">
        <v>127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2"/>
      <c r="C3" s="2"/>
      <c r="D3" s="2"/>
      <c r="E3" s="2"/>
    </row>
    <row r="4" customFormat="false" ht="15" hidden="false" customHeight="false" outlineLevel="0" collapsed="false">
      <c r="A4" s="5" t="s">
        <v>97</v>
      </c>
      <c r="B4" s="5" t="s">
        <v>128</v>
      </c>
      <c r="C4" s="5" t="s">
        <v>129</v>
      </c>
      <c r="D4" s="5" t="s">
        <v>130</v>
      </c>
      <c r="E4" s="5" t="s">
        <v>104</v>
      </c>
    </row>
    <row r="5" customFormat="false" ht="15" hidden="false" customHeight="false" outlineLevel="0" collapsed="false">
      <c r="A5" s="9" t="s">
        <v>131</v>
      </c>
      <c r="B5" s="14" t="n">
        <v>20</v>
      </c>
      <c r="C5" s="14" t="n">
        <v>50</v>
      </c>
      <c r="D5" s="14" t="n">
        <v>80</v>
      </c>
      <c r="E5" s="11" t="s">
        <v>132</v>
      </c>
    </row>
    <row r="6" customFormat="false" ht="15" hidden="false" customHeight="false" outlineLevel="0" collapsed="false">
      <c r="A6" s="9" t="s">
        <v>107</v>
      </c>
      <c r="B6" s="13" t="n">
        <f aca="false">B5*'Gia dinh'!$B$10*'Gia dinh'!$B$9</f>
        <v>29700000</v>
      </c>
      <c r="C6" s="13" t="n">
        <f aca="false">C5*'Gia dinh'!$B$10*'Gia dinh'!$B$9</f>
        <v>74250000</v>
      </c>
      <c r="D6" s="13" t="n">
        <f aca="false">D5*'Gia dinh'!$B$10*'Gia dinh'!$B$9</f>
        <v>118800000</v>
      </c>
      <c r="E6" s="2"/>
    </row>
    <row r="7" customFormat="false" ht="15" hidden="false" customHeight="false" outlineLevel="0" collapsed="false">
      <c r="A7" s="9" t="s">
        <v>109</v>
      </c>
      <c r="B7" s="13" t="n">
        <f aca="false">B5*'Gia dinh'!$B$10*'Gia dinh'!$B$31</f>
        <v>12380500</v>
      </c>
      <c r="C7" s="13" t="n">
        <f aca="false">C5*'Gia dinh'!$B$10*'Gia dinh'!$B$31</f>
        <v>30951250</v>
      </c>
      <c r="D7" s="13" t="n">
        <f aca="false">D5*'Gia dinh'!$B$10*'Gia dinh'!$B$31</f>
        <v>49522000</v>
      </c>
      <c r="E7" s="2"/>
    </row>
    <row r="8" customFormat="false" ht="15" hidden="false" customHeight="false" outlineLevel="0" collapsed="false">
      <c r="A8" s="19" t="s">
        <v>111</v>
      </c>
      <c r="B8" s="20" t="n">
        <f aca="false">B6-B7</f>
        <v>17319500</v>
      </c>
      <c r="C8" s="20" t="n">
        <f aca="false">C6-C7</f>
        <v>43298750</v>
      </c>
      <c r="D8" s="20" t="n">
        <f aca="false">D6-D7</f>
        <v>69278000</v>
      </c>
      <c r="E8" s="2"/>
    </row>
    <row r="9" customFormat="false" ht="15" hidden="false" customHeight="false" outlineLevel="0" collapsed="false">
      <c r="A9" s="9" t="s">
        <v>133</v>
      </c>
      <c r="B9" s="13" t="n">
        <f aca="false">50*'Gia dinh'!$B$10*'Gia dinh'!$B$9*'Gia dinh'!$B$25</f>
        <v>22275000</v>
      </c>
      <c r="C9" s="13" t="n">
        <f aca="false">50*'Gia dinh'!$B$10*'Gia dinh'!$B$9*'Gia dinh'!$B$25</f>
        <v>22275000</v>
      </c>
      <c r="D9" s="13" t="n">
        <f aca="false">50*'Gia dinh'!$B$10*'Gia dinh'!$B$9*'Gia dinh'!$B$25</f>
        <v>22275000</v>
      </c>
      <c r="E9" s="2"/>
    </row>
    <row r="10" customFormat="false" ht="15" hidden="false" customHeight="false" outlineLevel="0" collapsed="false">
      <c r="A10" s="9" t="s">
        <v>115</v>
      </c>
      <c r="B10" s="23" t="n">
        <f aca="false">'Gia dinh'!$B$34</f>
        <v>17950000</v>
      </c>
      <c r="C10" s="23" t="n">
        <f aca="false">'Gia dinh'!$B$34</f>
        <v>17950000</v>
      </c>
      <c r="D10" s="23" t="n">
        <f aca="false">'Gia dinh'!$B$34</f>
        <v>17950000</v>
      </c>
      <c r="E10" s="2"/>
    </row>
    <row r="11" customFormat="false" ht="15" hidden="false" customHeight="false" outlineLevel="0" collapsed="false">
      <c r="A11" s="19" t="s">
        <v>117</v>
      </c>
      <c r="B11" s="20" t="n">
        <f aca="false">B8-B9-B10</f>
        <v>-22905500</v>
      </c>
      <c r="C11" s="20" t="n">
        <f aca="false">C8-C9-C10</f>
        <v>3073750</v>
      </c>
      <c r="D11" s="20" t="n">
        <f aca="false">D8-D9-D10</f>
        <v>29053000</v>
      </c>
      <c r="E11" s="2"/>
    </row>
    <row r="12" customFormat="false" ht="15" hidden="false" customHeight="false" outlineLevel="0" collapsed="false">
      <c r="A12" s="9" t="s">
        <v>53</v>
      </c>
      <c r="B12" s="23" t="n">
        <f aca="false">'Gia dinh'!$B$32</f>
        <v>39362.5</v>
      </c>
      <c r="C12" s="23" t="n">
        <f aca="false">'Gia dinh'!$B$32</f>
        <v>39362.5</v>
      </c>
      <c r="D12" s="23" t="n">
        <f aca="false">'Gia dinh'!$B$32</f>
        <v>39362.5</v>
      </c>
      <c r="E12" s="2"/>
    </row>
    <row r="13" customFormat="false" ht="15" hidden="false" customHeight="false" outlineLevel="0" collapsed="false">
      <c r="A13" s="3"/>
      <c r="B13" s="2"/>
      <c r="C13" s="2"/>
      <c r="D13" s="2"/>
      <c r="E13" s="2"/>
    </row>
    <row r="14" customFormat="false" ht="15" hidden="false" customHeight="false" outlineLevel="0" collapsed="false">
      <c r="A14" s="19" t="s">
        <v>134</v>
      </c>
      <c r="B14" s="2"/>
      <c r="C14" s="2"/>
      <c r="D14" s="2"/>
      <c r="E14" s="2"/>
    </row>
    <row r="15" customFormat="false" ht="26.85" hidden="false" customHeight="false" outlineLevel="0" collapsed="false">
      <c r="A15" s="9" t="s">
        <v>135</v>
      </c>
      <c r="B15" s="25" t="n">
        <f aca="false">IFERROR('Gia dinh'!$B$34/('Gia dinh'!$B$32*'Gia dinh'!$B$10),0)</f>
        <v>20.7280810646959</v>
      </c>
      <c r="C15" s="2"/>
      <c r="D15" s="2"/>
      <c r="E15" s="11" t="s">
        <v>136</v>
      </c>
    </row>
    <row r="16" customFormat="false" ht="26.85" hidden="false" customHeight="false" outlineLevel="0" collapsed="false">
      <c r="A16" s="9" t="s">
        <v>137</v>
      </c>
      <c r="B16" s="25" t="n">
        <f aca="false">IFERROR(('Gia dinh'!$B$34+B9)/('Gia dinh'!$B$32*'Gia dinh'!$B$10),0)</f>
        <v>46.4505326366235</v>
      </c>
      <c r="C16" s="2"/>
      <c r="D16" s="2"/>
      <c r="E16" s="2"/>
    </row>
    <row r="17" customFormat="false" ht="15" hidden="false" customHeight="false" outlineLevel="0" collapsed="false">
      <c r="A17" s="9" t="s">
        <v>138</v>
      </c>
      <c r="B17" s="15" t="n">
        <v>0</v>
      </c>
      <c r="C17" s="2"/>
      <c r="D17" s="2"/>
      <c r="E17" s="11" t="s">
        <v>139</v>
      </c>
    </row>
    <row r="18" customFormat="false" ht="15" hidden="false" customHeight="false" outlineLevel="0" collapsed="false">
      <c r="A18" s="9" t="s">
        <v>140</v>
      </c>
      <c r="B18" s="25" t="n">
        <f aca="false">IFERROR(('Gia dinh'!$B$34+B17)/('Gia dinh'!$B$32*'Gia dinh'!$B$10),0)</f>
        <v>20.7280810646959</v>
      </c>
      <c r="C18" s="2"/>
      <c r="D18" s="2"/>
      <c r="E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2.8" hidden="false" customHeight="false" outlineLevel="0" collapsed="false">
      <c r="A1" s="1" t="s">
        <v>141</v>
      </c>
      <c r="B1" s="2"/>
      <c r="C1" s="2"/>
    </row>
    <row r="2" customFormat="false" ht="15" hidden="false" customHeight="false" outlineLevel="0" collapsed="false">
      <c r="A2" s="3"/>
      <c r="B2" s="2"/>
      <c r="C2" s="2"/>
    </row>
    <row r="3" customFormat="false" ht="15" hidden="false" customHeight="false" outlineLevel="0" collapsed="false">
      <c r="A3" s="5" t="s">
        <v>142</v>
      </c>
      <c r="B3" s="5" t="s">
        <v>3</v>
      </c>
      <c r="C3" s="5" t="s">
        <v>104</v>
      </c>
    </row>
    <row r="4" customFormat="false" ht="15" hidden="false" customHeight="false" outlineLevel="0" collapsed="false">
      <c r="A4" s="9" t="s">
        <v>143</v>
      </c>
      <c r="B4" s="14" t="n">
        <v>120</v>
      </c>
      <c r="C4" s="11" t="s">
        <v>91</v>
      </c>
    </row>
    <row r="5" customFormat="false" ht="26.85" hidden="false" customHeight="false" outlineLevel="0" collapsed="false">
      <c r="A5" s="9" t="s">
        <v>144</v>
      </c>
      <c r="B5" s="18" t="n">
        <v>15</v>
      </c>
      <c r="C5" s="11" t="s">
        <v>145</v>
      </c>
    </row>
    <row r="6" customFormat="false" ht="15" hidden="false" customHeight="false" outlineLevel="0" collapsed="false">
      <c r="A6" s="9" t="s">
        <v>146</v>
      </c>
      <c r="B6" s="18" t="n">
        <v>20</v>
      </c>
      <c r="C6" s="11" t="s">
        <v>23</v>
      </c>
    </row>
    <row r="7" customFormat="false" ht="15" hidden="false" customHeight="false" outlineLevel="0" collapsed="false">
      <c r="A7" s="9" t="s">
        <v>147</v>
      </c>
      <c r="B7" s="18" t="n">
        <v>60</v>
      </c>
      <c r="C7" s="11" t="s">
        <v>148</v>
      </c>
    </row>
    <row r="8" customFormat="false" ht="15" hidden="false" customHeight="false" outlineLevel="0" collapsed="false">
      <c r="A8" s="9" t="s">
        <v>149</v>
      </c>
      <c r="B8" s="14" t="n">
        <v>1</v>
      </c>
      <c r="C8" s="11" t="s">
        <v>91</v>
      </c>
    </row>
    <row r="9" customFormat="false" ht="15" hidden="false" customHeight="false" outlineLevel="0" collapsed="false">
      <c r="A9" s="9" t="s">
        <v>150</v>
      </c>
      <c r="B9" s="26" t="n">
        <f aca="false">B8*FLOOR((B4-B6)/B5,1)</f>
        <v>6</v>
      </c>
      <c r="C9" s="11" t="s">
        <v>15</v>
      </c>
    </row>
    <row r="10" customFormat="false" ht="15" hidden="false" customHeight="false" outlineLevel="0" collapsed="false">
      <c r="A10" s="9" t="s">
        <v>151</v>
      </c>
      <c r="B10" s="27" t="n">
        <f aca="false">'Lai lo 6 thang'!B5</f>
        <v>50</v>
      </c>
      <c r="C10" s="11" t="s">
        <v>98</v>
      </c>
    </row>
    <row r="11" customFormat="false" ht="15" hidden="false" customHeight="false" outlineLevel="0" collapsed="false">
      <c r="A11" s="9" t="s">
        <v>152</v>
      </c>
      <c r="B11" s="28" t="n">
        <f aca="false">IFERROR(B10/B9,0)</f>
        <v>8.33333333333333</v>
      </c>
      <c r="C11" s="11" t="s">
        <v>153</v>
      </c>
    </row>
    <row r="12" customFormat="false" ht="15" hidden="false" customHeight="false" outlineLevel="0" collapsed="false">
      <c r="A12" s="9" t="s">
        <v>154</v>
      </c>
      <c r="B12" s="26" t="n">
        <f aca="false">ROUNDUP(B10/(B7*B8),0)</f>
        <v>1</v>
      </c>
      <c r="C12" s="11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2026-10-11T10:46:48Z</dcterms:created>
  <dc:creator>openpyxl</dc:creator>
  <dc:description/>
  <dc:language>en-US</dc:language>
  <cp:lastModifiedBy/>
  <dcterms:modified xsi:type="dcterms:W3CDTF">2026-10-11T10:46:48Z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