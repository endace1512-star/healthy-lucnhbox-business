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a mot lan" sheetId="1" state="visible" r:id="rId3"/>
    <sheet name="Mua dinh ky" sheetId="2" state="visible" r:id="rId4"/>
    <sheet name="Chi phi tha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<sst xmlns="http://schemas.openxmlformats.org/spreadsheetml/2006/main" count="279" uniqueCount="155">
  <si>
    <t xml:space="preserve">DANH SÁCH MUA MỘT LẦN (TRƯỚC KHI MỞ BÁN)</t>
  </si>
  <si>
    <t xml:space="preserve">Cột vàng = bạn điền giá thực tế. Trạng thái XM = giá đã có nguồn (nền xanh lá), ƯT = Claude ước tính, chưa tra giá. Chênh lệch dương = thực tế đắt hơn ước tính.</t>
  </si>
  <si>
    <t xml:space="preserve">#</t>
  </si>
  <si>
    <t xml:space="preserve">Hạng mục</t>
  </si>
  <si>
    <t xml:space="preserve">Quy cách / model gợi ý</t>
  </si>
  <si>
    <t xml:space="preserve">SL</t>
  </si>
  <si>
    <t xml:space="preserve">Đơn vị</t>
  </si>
  <si>
    <t xml:space="preserve">Đơn giá ước tính (đ)</t>
  </si>
  <si>
    <t xml:space="preserve">Thành tiền ước tính (đ)</t>
  </si>
  <si>
    <t xml:space="preserve">Trạng thái</t>
  </si>
  <si>
    <t xml:space="preserve">Nguồn giá / link</t>
  </si>
  <si>
    <t xml:space="preserve">Đơn giá thực tế (đ)</t>
  </si>
  <si>
    <t xml:space="preserve">Thành tiền thực tế (đ)</t>
  </si>
  <si>
    <t xml:space="preserve">Chênh lệch (đ)</t>
  </si>
  <si>
    <t xml:space="preserve">% chênh</t>
  </si>
  <si>
    <t xml:space="preserve">Nơi mua / ghi chú</t>
  </si>
  <si>
    <t xml:space="preserve">A. Máy móc chính (bộ tối thiểu)</t>
  </si>
  <si>
    <t xml:space="preserve">Tủ nấu cơm 12 khay (khay lỗ dùng hấp)</t>
  </si>
  <si>
    <t xml:space="preserve">Thiên Bình, điện. Bản gas 9,22 triệu</t>
  </si>
  <si>
    <t xml:space="preserve">cái</t>
  </si>
  <si>
    <t xml:space="preserve">XM</t>
  </si>
  <si>
    <t xml:space="preserve">https://thienbinhgroup.com/collections/tu-com</t>
  </si>
  <si>
    <t xml:space="preserve">Lò nướng đối lưu 4 khay</t>
  </si>
  <si>
    <t xml:space="preserve">WGB-8A, 220V, 5,8kW</t>
  </si>
  <si>
    <t xml:space="preserve">https://mayvatlongga.info/san-pham/lo-nuong-doi-luu-4-khay-dung-dien/</t>
  </si>
  <si>
    <t xml:space="preserve">Bếp chiên phẳng gas</t>
  </si>
  <si>
    <t xml:space="preserve">GH-718</t>
  </si>
  <si>
    <t xml:space="preserve">https://dienmaybepviet.vn/bep-chien-phang-bv</t>
  </si>
  <si>
    <t xml:space="preserve">Chảo rang tự đảo</t>
  </si>
  <si>
    <t xml:space="preserve">Viễn Đông, 20-25 suất/mẻ</t>
  </si>
  <si>
    <t xml:space="preserve">https://tucomcongnghiep.vn/san-pham/chao-rang-tu-dao/</t>
  </si>
  <si>
    <t xml:space="preserve">Máy thái rau củ</t>
  </si>
  <si>
    <t xml:space="preserve">YC-380, 220V</t>
  </si>
  <si>
    <t xml:space="preserve">https://maythucphamviet.com.vn/may-thai-rau-cu-qua-da-nang-yc-380-cao-cap-dien-220v-nhap-nguyen-chiec.html</t>
  </si>
  <si>
    <t xml:space="preserve">Tủ đông mát</t>
  </si>
  <si>
    <t xml:space="preserve">Sanaky VH-3699W1, 260L</t>
  </si>
  <si>
    <t xml:space="preserve">https://www.dienmayxanh.com/tu-dong/sanaky-vh-3699w1</t>
  </si>
  <si>
    <t xml:space="preserve">Tủ giữ nóng thức ăn</t>
  </si>
  <si>
    <t xml:space="preserve">Newsun HBM-100</t>
  </si>
  <si>
    <t xml:space="preserve">https://dienmaynewsun.com/tu-ham-nong-thuc-an</t>
  </si>
  <si>
    <t xml:space="preserve">Túi giao hàng giữ nhiệt</t>
  </si>
  <si>
    <t xml:space="preserve">2 túi 70L + 2 túi đôi 90L (giá cả bộ)</t>
  </si>
  <si>
    <t xml:space="preserve">bộ</t>
  </si>
  <si>
    <t xml:space="preserve">Xem tom-tat-du-an.md mục 5</t>
  </si>
  <si>
    <t xml:space="preserve">B. Phụ kiện bếp (ước tính 15 triệu, Claude tự chia)</t>
  </si>
  <si>
    <t xml:space="preserve">Bàn inox sơ chế</t>
  </si>
  <si>
    <t xml:space="preserve">Inox 304, khoảng 1,2-1,5m, có kệ dưới</t>
  </si>
  <si>
    <t xml:space="preserve">ƯT</t>
  </si>
  <si>
    <t xml:space="preserve">Chưa tra giá</t>
  </si>
  <si>
    <t xml:space="preserve">Cân điện tử lớn</t>
  </si>
  <si>
    <t xml:space="preserve">30kg, cân nguyên liệu</t>
  </si>
  <si>
    <t xml:space="preserve">Cân điện tử nhỏ</t>
  </si>
  <si>
    <t xml:space="preserve">5kg, cân định lượng từng hộp</t>
  </si>
  <si>
    <t xml:space="preserve">Máy in nhãn nhiệt</t>
  </si>
  <si>
    <t xml:space="preserve">In nhãn tên khách, món, giờ nấu</t>
  </si>
  <si>
    <t xml:space="preserve">Tủ mát nhỏ lưu mẫu thức ăn</t>
  </si>
  <si>
    <t xml:space="preserve">Khoảng 90L, giữ 2-8°C, để riêng (bắt buộc theo QĐ 1246/QĐ-BYT)</t>
  </si>
  <si>
    <t xml:space="preserve">Dụng cụ: dao, thớt, nồi, khay inox, muỗng múc, rổ, thau</t>
  </si>
  <si>
    <t xml:space="preserve">Bộ cơ bản</t>
  </si>
  <si>
    <t xml:space="preserve">C. Cải tạo bếp (ước tính 20 triệu, Claude tự chia, cần khảo sát mặt bằng)</t>
  </si>
  <si>
    <t xml:space="preserve">Hệ thống hút mùi</t>
  </si>
  <si>
    <t xml:space="preserve">Chụp hút inox + quạt + ống</t>
  </si>
  <si>
    <t xml:space="preserve">Đi dây điện, CB, ổ cắm công suất lớn</t>
  </si>
  <si>
    <t xml:space="preserve">Tùy mặt bằng có 3 pha hay không</t>
  </si>
  <si>
    <t xml:space="preserve">gói</t>
  </si>
  <si>
    <t xml:space="preserve">Bồn rửa inox 2 hộc</t>
  </si>
  <si>
    <t xml:space="preserve">Inox 304</t>
  </si>
  <si>
    <t xml:space="preserve">Thoát nước, bẫy mỡ</t>
  </si>
  <si>
    <t xml:space="preserve">PCCC: bình chữa cháy, đèn thoát hiểm</t>
  </si>
  <si>
    <t xml:space="preserve">2-3 bình CO2/bột</t>
  </si>
  <si>
    <t xml:space="preserve">D. Giấy phép</t>
  </si>
  <si>
    <t xml:space="preserve">Phí thẩm định cơ sở đủ điều kiện ATTP</t>
  </si>
  <si>
    <t xml:space="preserve">Cơ sở từ 200 suất</t>
  </si>
  <si>
    <t xml:space="preserve">lần</t>
  </si>
  <si>
    <t xml:space="preserve">https://atvstp.org.vn/thu-tuc-cap-giay-phep-an-toan-ve-sinh-thuc-pham</t>
  </si>
  <si>
    <t xml:space="preserve">Đăng ký hộ kinh doanh, khám sức khỏe, tập huấn ATTP</t>
  </si>
  <si>
    <t xml:space="preserve">Cho 2 người</t>
  </si>
  <si>
    <t xml:space="preserve">E. Thương hiệu</t>
  </si>
  <si>
    <t xml:space="preserve">Thiết kế logo, nhận diện</t>
  </si>
  <si>
    <t xml:space="preserve">In nhãn, sticker hộp đợt đầu</t>
  </si>
  <si>
    <t xml:space="preserve">đợt</t>
  </si>
  <si>
    <t xml:space="preserve">Chụp ảnh món</t>
  </si>
  <si>
    <t xml:space="preserve">Khoảng 10-15 món</t>
  </si>
  <si>
    <t xml:space="preserve">buổi</t>
  </si>
  <si>
    <t xml:space="preserve">F. Đồ dùng khác (chưa có trong bảng tính tài chính)</t>
  </si>
  <si>
    <t xml:space="preserve">Đồng phục, tạp dề, mũ trùm tóc, găng tay</t>
  </si>
  <si>
    <t xml:space="preserve">Thiết bị xuất hóa đơn điện tử (máy tính tiền / điện thoại)</t>
  </si>
  <si>
    <t xml:space="preserve">Có thể dùng điện thoại sẵn có</t>
  </si>
  <si>
    <t xml:space="preserve">Chưa ước tính. Điền nếu phải mua</t>
  </si>
  <si>
    <t xml:space="preserve">TỔNG</t>
  </si>
  <si>
    <t xml:space="preserve">Chênh lệch chỉ tính trên các dòng đã điền giá thực tế</t>
  </si>
  <si>
    <t xml:space="preserve">Số dòng đã điền giá thực tế</t>
  </si>
  <si>
    <t xml:space="preserve">Không có trong danh sách mua (đã tính riêng trong ke-hoach-tai-chinh.xlsx): cọc mặt bằng 18 triệu, thuê tháng chuẩn bị 9 triệu, nấu thử 2,4 triệu,</t>
  </si>
  <si>
    <t xml:space="preserve">quảng cáo Soft open 5 triệu, hàng tồn đầu 5 triệu (xem sheet 'Mua dinh ky'), vốn lưu động 35,9 triệu, dự phòng 10%.</t>
  </si>
  <si>
    <t xml:space="preserve">Xe máy giao hàng: đang coi như đã có sẵn.</t>
  </si>
  <si>
    <t xml:space="preserve">NGUYÊN LIỆU VÀ BAO BÌ MUA ĐỊNH KỲ</t>
  </si>
  <si>
    <t xml:space="preserve">Cột vàng = bạn điền giá thực tế. Trạng thái XM = giá đã có nguồn (nền xanh lá), ƯT = Claude ước tính, chưa tra giá. Chênh lệch dương = thực tế đắt hơn ước tính. Giá giữa = trung bình giá thấp và giá cao.</t>
  </si>
  <si>
    <t xml:space="preserve">Quy cách</t>
  </si>
  <si>
    <t xml:space="preserve">Giá thấp (đ)</t>
  </si>
  <si>
    <t xml:space="preserve">Giá cao (đ)</t>
  </si>
  <si>
    <t xml:space="preserve">Giá giữa (đ)</t>
  </si>
  <si>
    <t xml:space="preserve">Giá thực tế (đ)</t>
  </si>
  <si>
    <t xml:space="preserve">Chênh lệch so với giá giữa (đ)</t>
  </si>
  <si>
    <t xml:space="preserve">A. Nguyên liệu chính</t>
  </si>
  <si>
    <t xml:space="preserve">Ức gà phi lê</t>
  </si>
  <si>
    <t xml:space="preserve">kg</t>
  </si>
  <si>
    <t xml:space="preserve">Xem tom-tat-du-an.md mục 5 (giá tham khảo 10/2026)</t>
  </si>
  <si>
    <t xml:space="preserve">Cá basa phi lê</t>
  </si>
  <si>
    <t xml:space="preserve">Cá diêu hồng phi lê</t>
  </si>
  <si>
    <t xml:space="preserve">Thịt heo đùi</t>
  </si>
  <si>
    <t xml:space="preserve">Giá sỉ</t>
  </si>
  <si>
    <t xml:space="preserve">Thịt bò</t>
  </si>
  <si>
    <t xml:space="preserve">Gạo</t>
  </si>
  <si>
    <t xml:space="preserve">Trắng hoặc lứt, chưa chốt</t>
  </si>
  <si>
    <t xml:space="preserve">Đùi gà</t>
  </si>
  <si>
    <t xml:space="preserve">Dùng cho món gà xé</t>
  </si>
  <si>
    <t xml:space="preserve">Chưa có giá</t>
  </si>
  <si>
    <t xml:space="preserve">Đậu hũ</t>
  </si>
  <si>
    <t xml:space="preserve">miếng</t>
  </si>
  <si>
    <t xml:space="preserve">Rau lá (rau muống, cải thìa...)</t>
  </si>
  <si>
    <t xml:space="preserve">Mua ở Bình Điền</t>
  </si>
  <si>
    <t xml:space="preserve">Rau củ (cà rốt, bông cải, đậu que, bí...)</t>
  </si>
  <si>
    <t xml:space="preserve">B. Bao bì (ước tính 4.000đ/suất, Claude tự chia)</t>
  </si>
  <si>
    <t xml:space="preserve">Hộp đựng cơm 1 lần, có ngăn</t>
  </si>
  <si>
    <t xml:space="preserve">Chịu nhiệt, nắp gài hoặc dán màng (chưa chốt)</t>
  </si>
  <si>
    <t xml:space="preserve">Túi đựng</t>
  </si>
  <si>
    <t xml:space="preserve">Nhãn in</t>
  </si>
  <si>
    <t xml:space="preserve">Đũa, muỗng, khăn giấy</t>
  </si>
  <si>
    <t xml:space="preserve">C. Hàng tồn đầu (ước tính 5 triệu một lần)</t>
  </si>
  <si>
    <t xml:space="preserve">Đồ khô, gia vị, dầu ăn, nước sốt</t>
  </si>
  <si>
    <t xml:space="preserve">Đợt đầu</t>
  </si>
  <si>
    <t xml:space="preserve">CHI PHÍ CỐ ĐỊNH HẰNG THÁNG (CHƯA GỒM LƯƠNG, QUẢNG CÁO)</t>
  </si>
  <si>
    <t xml:space="preserve">Ghi chú</t>
  </si>
  <si>
    <t xml:space="preserve">Ước tính / tháng (đ)</t>
  </si>
  <si>
    <t xml:space="preserve">Nguồn</t>
  </si>
  <si>
    <t xml:space="preserve">Thực tế / tháng (đ)</t>
  </si>
  <si>
    <t xml:space="preserve">Ghi chú thêm</t>
  </si>
  <si>
    <t xml:space="preserve">Thuê mặt bằng</t>
  </si>
  <si>
    <t xml:space="preserve">Chủ dự án: 8-10 triệu, lấy giữa</t>
  </si>
  <si>
    <t xml:space="preserve">CDA</t>
  </si>
  <si>
    <t xml:space="preserve">Chủ dự án chốt</t>
  </si>
  <si>
    <t xml:space="preserve">Điện, nước, gas</t>
  </si>
  <si>
    <t xml:space="preserve">Gas/điện nấu cơm khoảng 30-50k/ngày</t>
  </si>
  <si>
    <t xml:space="preserve">Chưa có số thật</t>
  </si>
  <si>
    <t xml:space="preserve">Phần mềm SePay (gói trả phí)</t>
  </si>
  <si>
    <t xml:space="preserve">Gói miễn phí chỉ 50 giao dịch/tháng</t>
  </si>
  <si>
    <t xml:space="preserve">https://sepay.vn/bang-gia.html</t>
  </si>
  <si>
    <t xml:space="preserve">Zalo OA</t>
  </si>
  <si>
    <t xml:space="preserve">1 triệu/năm, chia 12 tháng</t>
  </si>
  <si>
    <t xml:space="preserve">Tin nhắn ZNS</t>
  </si>
  <si>
    <t xml:space="preserve">200-300đ/tin, tính theo suất trong bảng tài chính</t>
  </si>
  <si>
    <t xml:space="preserve">https://v9.com.vn/bang-bao-gia-zalo-zns/</t>
  </si>
  <si>
    <t xml:space="preserve">Xăng xe, bảo trì xe giao</t>
  </si>
  <si>
    <t xml:space="preserve">Giao toàn TP.HCM</t>
  </si>
  <si>
    <t xml:space="preserve">Chi phí khác: vệ sinh, sửa chữa, văn phòng phẩm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</si>
</sst>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C00000"/>
      </font>
    </dxf>
    <dxf>
      <font>
        <name val="Arial"/>
        <charset val="1"/>
        <family val="0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ienbinhgroup.com/collections/tu-com" TargetMode="External"/><Relationship Id="rId2" Type="http://schemas.openxmlformats.org/officeDocument/2006/relationships/hyperlink" Target="https://mayvatlongga.info/san-pham/lo-nuong-doi-luu-4-khay-dung-dien/" TargetMode="External"/><Relationship Id="rId3" Type="http://schemas.openxmlformats.org/officeDocument/2006/relationships/hyperlink" Target="https://dienmaybepviet.vn/bep-chien-phang-bv" TargetMode="External"/><Relationship Id="rId4" Type="http://schemas.openxmlformats.org/officeDocument/2006/relationships/hyperlink" Target="https://tucomcongnghiep.vn/san-pham/chao-rang-tu-dao/" TargetMode="External"/><Relationship Id="rId5" Type="http://schemas.openxmlformats.org/officeDocument/2006/relationships/hyperlink" Target="https://maythucphamviet.com.vn/may-thai-rau-cu-qua-da-nang-yc-380-cao-cap-dien-220v-nhap-nguyen-chiec.html" TargetMode="External"/><Relationship Id="rId6" Type="http://schemas.openxmlformats.org/officeDocument/2006/relationships/hyperlink" Target="https://www.dienmayxanh.com/tu-dong/sanaky-vh-3699w1" TargetMode="External"/><Relationship Id="rId7" Type="http://schemas.openxmlformats.org/officeDocument/2006/relationships/hyperlink" Target="https://dienmaynewsun.com/tu-ham-nong-thuc-an" TargetMode="External"/><Relationship Id="rId8" Type="http://schemas.openxmlformats.org/officeDocument/2006/relationships/hyperlink" Target="https://atvstp.org.vn/thu-tuc-cap-giay-phep-an-toan-ve-sinh-thuc-pha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pay.vn/bang-gia.html" TargetMode="External"/><Relationship Id="rId2" Type="http://schemas.openxmlformats.org/officeDocument/2006/relationships/hyperlink" Target="https://v9.com.vn/bang-bao-gia-zalo-zn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45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4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false" outlineLevel="0" collapsed="false">
      <c r="A5" s="5"/>
      <c r="B5" s="6" t="s">
        <v>16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7" t="n">
        <v>1</v>
      </c>
      <c r="B6" s="8" t="s">
        <v>17</v>
      </c>
      <c r="C6" s="8" t="s">
        <v>18</v>
      </c>
      <c r="D6" s="9" t="n">
        <v>1</v>
      </c>
      <c r="E6" s="7" t="s">
        <v>19</v>
      </c>
      <c r="F6" s="10" t="n">
        <v>8840000</v>
      </c>
      <c r="G6" s="11" t="n">
        <f aca="false">D6*F6</f>
        <v>8840000</v>
      </c>
      <c r="H6" s="12" t="s">
        <v>20</v>
      </c>
      <c r="I6" s="13" t="s">
        <v>21</v>
      </c>
      <c r="J6" s="14"/>
      <c r="K6" s="11" t="str">
        <f aca="false">IF(J6="","",D6*J6)</f>
        <v/>
      </c>
      <c r="L6" s="11" t="str">
        <f aca="false">IF(J6="","",K6-G6)</f>
        <v/>
      </c>
      <c r="M6" s="15" t="str">
        <f aca="false">IF(OR(J6="",G6=0),"",L6/G6)</f>
        <v/>
      </c>
      <c r="N6" s="16"/>
    </row>
    <row r="7" customFormat="false" ht="15" hidden="false" customHeight="false" outlineLevel="0" collapsed="false">
      <c r="A7" s="7" t="n">
        <v>2</v>
      </c>
      <c r="B7" s="8" t="s">
        <v>22</v>
      </c>
      <c r="C7" s="8" t="s">
        <v>23</v>
      </c>
      <c r="D7" s="9" t="n">
        <v>1</v>
      </c>
      <c r="E7" s="7" t="s">
        <v>19</v>
      </c>
      <c r="F7" s="10" t="n">
        <v>16500000</v>
      </c>
      <c r="G7" s="11" t="n">
        <f aca="false">D7*F7</f>
        <v>16500000</v>
      </c>
      <c r="H7" s="12" t="s">
        <v>20</v>
      </c>
      <c r="I7" s="13" t="s">
        <v>24</v>
      </c>
      <c r="J7" s="14"/>
      <c r="K7" s="11" t="str">
        <f aca="false">IF(J7="","",D7*J7)</f>
        <v/>
      </c>
      <c r="L7" s="11" t="str">
        <f aca="false">IF(J7="","",K7-G7)</f>
        <v/>
      </c>
      <c r="M7" s="15" t="str">
        <f aca="false">IF(OR(J7="",G7=0),"",L7/G7)</f>
        <v/>
      </c>
      <c r="N7" s="16"/>
    </row>
    <row r="8" customFormat="false" ht="15" hidden="false" customHeight="false" outlineLevel="0" collapsed="false">
      <c r="A8" s="7" t="n">
        <v>3</v>
      </c>
      <c r="B8" s="8" t="s">
        <v>25</v>
      </c>
      <c r="C8" s="8" t="s">
        <v>26</v>
      </c>
      <c r="D8" s="9" t="n">
        <v>1</v>
      </c>
      <c r="E8" s="7" t="s">
        <v>19</v>
      </c>
      <c r="F8" s="10" t="n">
        <v>4300000</v>
      </c>
      <c r="G8" s="11" t="n">
        <f aca="false">D8*F8</f>
        <v>4300000</v>
      </c>
      <c r="H8" s="12" t="s">
        <v>20</v>
      </c>
      <c r="I8" s="13" t="s">
        <v>27</v>
      </c>
      <c r="J8" s="14"/>
      <c r="K8" s="11" t="str">
        <f aca="false">IF(J8="","",D8*J8)</f>
        <v/>
      </c>
      <c r="L8" s="11" t="str">
        <f aca="false">IF(J8="","",K8-G8)</f>
        <v/>
      </c>
      <c r="M8" s="15" t="str">
        <f aca="false">IF(OR(J8="",G8=0),"",L8/G8)</f>
        <v/>
      </c>
      <c r="N8" s="16"/>
    </row>
    <row r="9" customFormat="false" ht="15" hidden="false" customHeight="false" outlineLevel="0" collapsed="false">
      <c r="A9" s="7" t="n">
        <v>4</v>
      </c>
      <c r="B9" s="8" t="s">
        <v>28</v>
      </c>
      <c r="C9" s="8" t="s">
        <v>29</v>
      </c>
      <c r="D9" s="9" t="n">
        <v>1</v>
      </c>
      <c r="E9" s="7" t="s">
        <v>19</v>
      </c>
      <c r="F9" s="10" t="n">
        <v>8800000</v>
      </c>
      <c r="G9" s="11" t="n">
        <f aca="false">D9*F9</f>
        <v>8800000</v>
      </c>
      <c r="H9" s="12" t="s">
        <v>20</v>
      </c>
      <c r="I9" s="13" t="s">
        <v>30</v>
      </c>
      <c r="J9" s="14"/>
      <c r="K9" s="11" t="str">
        <f aca="false">IF(J9="","",D9*J9)</f>
        <v/>
      </c>
      <c r="L9" s="11" t="str">
        <f aca="false">IF(J9="","",K9-G9)</f>
        <v/>
      </c>
      <c r="M9" s="15" t="str">
        <f aca="false">IF(OR(J9="",G9=0),"",L9/G9)</f>
        <v/>
      </c>
      <c r="N9" s="16"/>
    </row>
    <row r="10" customFormat="false" ht="15" hidden="false" customHeight="false" outlineLevel="0" collapsed="false">
      <c r="A10" s="7" t="n">
        <v>5</v>
      </c>
      <c r="B10" s="8" t="s">
        <v>31</v>
      </c>
      <c r="C10" s="8" t="s">
        <v>32</v>
      </c>
      <c r="D10" s="9" t="n">
        <v>1</v>
      </c>
      <c r="E10" s="7" t="s">
        <v>19</v>
      </c>
      <c r="F10" s="10" t="n">
        <v>3500000</v>
      </c>
      <c r="G10" s="11" t="n">
        <f aca="false">D10*F10</f>
        <v>3500000</v>
      </c>
      <c r="H10" s="12" t="s">
        <v>20</v>
      </c>
      <c r="I10" s="13" t="s">
        <v>33</v>
      </c>
      <c r="J10" s="14"/>
      <c r="K10" s="11" t="str">
        <f aca="false">IF(J10="","",D10*J10)</f>
        <v/>
      </c>
      <c r="L10" s="11" t="str">
        <f aca="false">IF(J10="","",K10-G10)</f>
        <v/>
      </c>
      <c r="M10" s="15" t="str">
        <f aca="false">IF(OR(J10="",G10=0),"",L10/G10)</f>
        <v/>
      </c>
      <c r="N10" s="16"/>
    </row>
    <row r="11" customFormat="false" ht="15" hidden="false" customHeight="false" outlineLevel="0" collapsed="false">
      <c r="A11" s="7" t="n">
        <v>6</v>
      </c>
      <c r="B11" s="8" t="s">
        <v>34</v>
      </c>
      <c r="C11" s="8" t="s">
        <v>35</v>
      </c>
      <c r="D11" s="9" t="n">
        <v>1</v>
      </c>
      <c r="E11" s="7" t="s">
        <v>19</v>
      </c>
      <c r="F11" s="10" t="n">
        <v>7980000</v>
      </c>
      <c r="G11" s="11" t="n">
        <f aca="false">D11*F11</f>
        <v>7980000</v>
      </c>
      <c r="H11" s="12" t="s">
        <v>20</v>
      </c>
      <c r="I11" s="13" t="s">
        <v>36</v>
      </c>
      <c r="J11" s="14"/>
      <c r="K11" s="11" t="str">
        <f aca="false">IF(J11="","",D11*J11)</f>
        <v/>
      </c>
      <c r="L11" s="11" t="str">
        <f aca="false">IF(J11="","",K11-G11)</f>
        <v/>
      </c>
      <c r="M11" s="15" t="str">
        <f aca="false">IF(OR(J11="",G11=0),"",L11/G11)</f>
        <v/>
      </c>
      <c r="N11" s="16"/>
    </row>
    <row r="12" customFormat="false" ht="15" hidden="false" customHeight="false" outlineLevel="0" collapsed="false">
      <c r="A12" s="7" t="n">
        <v>7</v>
      </c>
      <c r="B12" s="8" t="s">
        <v>37</v>
      </c>
      <c r="C12" s="8" t="s">
        <v>38</v>
      </c>
      <c r="D12" s="9" t="n">
        <v>1</v>
      </c>
      <c r="E12" s="7" t="s">
        <v>19</v>
      </c>
      <c r="F12" s="10" t="n">
        <v>6000000</v>
      </c>
      <c r="G12" s="11" t="n">
        <f aca="false">D12*F12</f>
        <v>6000000</v>
      </c>
      <c r="H12" s="12" t="s">
        <v>20</v>
      </c>
      <c r="I12" s="13" t="s">
        <v>39</v>
      </c>
      <c r="J12" s="14"/>
      <c r="K12" s="11" t="str">
        <f aca="false">IF(J12="","",D12*J12)</f>
        <v/>
      </c>
      <c r="L12" s="11" t="str">
        <f aca="false">IF(J12="","",K12-G12)</f>
        <v/>
      </c>
      <c r="M12" s="15" t="str">
        <f aca="false">IF(OR(J12="",G12=0),"",L12/G12)</f>
        <v/>
      </c>
      <c r="N12" s="16"/>
    </row>
    <row r="13" customFormat="false" ht="15" hidden="false" customHeight="false" outlineLevel="0" collapsed="false">
      <c r="A13" s="7" t="n">
        <v>8</v>
      </c>
      <c r="B13" s="8" t="s">
        <v>40</v>
      </c>
      <c r="C13" s="8" t="s">
        <v>41</v>
      </c>
      <c r="D13" s="9" t="n">
        <v>1</v>
      </c>
      <c r="E13" s="7" t="s">
        <v>42</v>
      </c>
      <c r="F13" s="10" t="n">
        <v>2740000</v>
      </c>
      <c r="G13" s="11" t="n">
        <f aca="false">D13*F13</f>
        <v>2740000</v>
      </c>
      <c r="H13" s="12" t="s">
        <v>20</v>
      </c>
      <c r="I13" s="8" t="s">
        <v>43</v>
      </c>
      <c r="J13" s="14"/>
      <c r="K13" s="11" t="str">
        <f aca="false">IF(J13="","",D13*J13)</f>
        <v/>
      </c>
      <c r="L13" s="11" t="str">
        <f aca="false">IF(J13="","",K13-G13)</f>
        <v/>
      </c>
      <c r="M13" s="15" t="str">
        <f aca="false">IF(OR(J13="",G13=0),"",L13/G13)</f>
        <v/>
      </c>
      <c r="N13" s="16"/>
    </row>
    <row r="14" customFormat="false" ht="15" hidden="false" customHeight="false" outlineLevel="0" collapsed="false">
      <c r="A14" s="5"/>
      <c r="B14" s="6" t="s">
        <v>44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26.85" hidden="false" customHeight="false" outlineLevel="0" collapsed="false">
      <c r="A15" s="7" t="n">
        <v>9</v>
      </c>
      <c r="B15" s="8" t="s">
        <v>45</v>
      </c>
      <c r="C15" s="8" t="s">
        <v>46</v>
      </c>
      <c r="D15" s="9" t="n">
        <v>2</v>
      </c>
      <c r="E15" s="7" t="s">
        <v>19</v>
      </c>
      <c r="F15" s="10" t="n">
        <v>2500000</v>
      </c>
      <c r="G15" s="11" t="n">
        <f aca="false">D15*F15</f>
        <v>5000000</v>
      </c>
      <c r="H15" s="7" t="s">
        <v>47</v>
      </c>
      <c r="I15" s="8" t="s">
        <v>48</v>
      </c>
      <c r="J15" s="14"/>
      <c r="K15" s="11" t="str">
        <f aca="false">IF(J15="","",D15*J15)</f>
        <v/>
      </c>
      <c r="L15" s="11" t="str">
        <f aca="false">IF(J15="","",K15-G15)</f>
        <v/>
      </c>
      <c r="M15" s="15" t="str">
        <f aca="false">IF(OR(J15="",G15=0),"",L15/G15)</f>
        <v/>
      </c>
      <c r="N15" s="16"/>
    </row>
    <row r="16" customFormat="false" ht="15" hidden="false" customHeight="false" outlineLevel="0" collapsed="false">
      <c r="A16" s="7" t="n">
        <v>10</v>
      </c>
      <c r="B16" s="8" t="s">
        <v>49</v>
      </c>
      <c r="C16" s="8" t="s">
        <v>50</v>
      </c>
      <c r="D16" s="9" t="n">
        <v>1</v>
      </c>
      <c r="E16" s="7" t="s">
        <v>19</v>
      </c>
      <c r="F16" s="10" t="n">
        <v>800000</v>
      </c>
      <c r="G16" s="11" t="n">
        <f aca="false">D16*F16</f>
        <v>800000</v>
      </c>
      <c r="H16" s="7" t="s">
        <v>47</v>
      </c>
      <c r="I16" s="8" t="s">
        <v>48</v>
      </c>
      <c r="J16" s="14"/>
      <c r="K16" s="11" t="str">
        <f aca="false">IF(J16="","",D16*J16)</f>
        <v/>
      </c>
      <c r="L16" s="11" t="str">
        <f aca="false">IF(J16="","",K16-G16)</f>
        <v/>
      </c>
      <c r="M16" s="15" t="str">
        <f aca="false">IF(OR(J16="",G16=0),"",L16/G16)</f>
        <v/>
      </c>
      <c r="N16" s="16"/>
    </row>
    <row r="17" customFormat="false" ht="15" hidden="false" customHeight="false" outlineLevel="0" collapsed="false">
      <c r="A17" s="7" t="n">
        <v>11</v>
      </c>
      <c r="B17" s="8" t="s">
        <v>51</v>
      </c>
      <c r="C17" s="8" t="s">
        <v>52</v>
      </c>
      <c r="D17" s="9" t="n">
        <v>1</v>
      </c>
      <c r="E17" s="7" t="s">
        <v>19</v>
      </c>
      <c r="F17" s="10" t="n">
        <v>300000</v>
      </c>
      <c r="G17" s="11" t="n">
        <f aca="false">D17*F17</f>
        <v>300000</v>
      </c>
      <c r="H17" s="7" t="s">
        <v>47</v>
      </c>
      <c r="I17" s="8" t="s">
        <v>48</v>
      </c>
      <c r="J17" s="14"/>
      <c r="K17" s="11" t="str">
        <f aca="false">IF(J17="","",D17*J17)</f>
        <v/>
      </c>
      <c r="L17" s="11" t="str">
        <f aca="false">IF(J17="","",K17-G17)</f>
        <v/>
      </c>
      <c r="M17" s="15" t="str">
        <f aca="false">IF(OR(J17="",G17=0),"",L17/G17)</f>
        <v/>
      </c>
      <c r="N17" s="16"/>
    </row>
    <row r="18" customFormat="false" ht="15" hidden="false" customHeight="false" outlineLevel="0" collapsed="false">
      <c r="A18" s="7" t="n">
        <v>12</v>
      </c>
      <c r="B18" s="8" t="s">
        <v>53</v>
      </c>
      <c r="C18" s="8" t="s">
        <v>54</v>
      </c>
      <c r="D18" s="9" t="n">
        <v>1</v>
      </c>
      <c r="E18" s="7" t="s">
        <v>19</v>
      </c>
      <c r="F18" s="10" t="n">
        <v>2500000</v>
      </c>
      <c r="G18" s="11" t="n">
        <f aca="false">D18*F18</f>
        <v>2500000</v>
      </c>
      <c r="H18" s="7" t="s">
        <v>47</v>
      </c>
      <c r="I18" s="8" t="s">
        <v>48</v>
      </c>
      <c r="J18" s="14"/>
      <c r="K18" s="11" t="str">
        <f aca="false">IF(J18="","",D18*J18)</f>
        <v/>
      </c>
      <c r="L18" s="11" t="str">
        <f aca="false">IF(J18="","",K18-G18)</f>
        <v/>
      </c>
      <c r="M18" s="15" t="str">
        <f aca="false">IF(OR(J18="",G18=0),"",L18/G18)</f>
        <v/>
      </c>
      <c r="N18" s="16"/>
    </row>
    <row r="19" customFormat="false" ht="26.85" hidden="false" customHeight="false" outlineLevel="0" collapsed="false">
      <c r="A19" s="7" t="n">
        <v>13</v>
      </c>
      <c r="B19" s="8" t="s">
        <v>55</v>
      </c>
      <c r="C19" s="8" t="s">
        <v>56</v>
      </c>
      <c r="D19" s="9" t="n">
        <v>1</v>
      </c>
      <c r="E19" s="7" t="s">
        <v>19</v>
      </c>
      <c r="F19" s="10" t="n">
        <v>3000000</v>
      </c>
      <c r="G19" s="11" t="n">
        <f aca="false">D19*F19</f>
        <v>3000000</v>
      </c>
      <c r="H19" s="7" t="s">
        <v>47</v>
      </c>
      <c r="I19" s="8" t="s">
        <v>48</v>
      </c>
      <c r="J19" s="14"/>
      <c r="K19" s="11" t="str">
        <f aca="false">IF(J19="","",D19*J19)</f>
        <v/>
      </c>
      <c r="L19" s="11" t="str">
        <f aca="false">IF(J19="","",K19-G19)</f>
        <v/>
      </c>
      <c r="M19" s="15" t="str">
        <f aca="false">IF(OR(J19="",G19=0),"",L19/G19)</f>
        <v/>
      </c>
      <c r="N19" s="16"/>
    </row>
    <row r="20" customFormat="false" ht="26.85" hidden="false" customHeight="false" outlineLevel="0" collapsed="false">
      <c r="A20" s="7" t="n">
        <v>14</v>
      </c>
      <c r="B20" s="8" t="s">
        <v>57</v>
      </c>
      <c r="C20" s="8" t="s">
        <v>58</v>
      </c>
      <c r="D20" s="9" t="n">
        <v>1</v>
      </c>
      <c r="E20" s="7" t="s">
        <v>42</v>
      </c>
      <c r="F20" s="10" t="n">
        <v>3400000</v>
      </c>
      <c r="G20" s="11" t="n">
        <f aca="false">D20*F20</f>
        <v>3400000</v>
      </c>
      <c r="H20" s="7" t="s">
        <v>47</v>
      </c>
      <c r="I20" s="8" t="s">
        <v>48</v>
      </c>
      <c r="J20" s="14"/>
      <c r="K20" s="11" t="str">
        <f aca="false">IF(J20="","",D20*J20)</f>
        <v/>
      </c>
      <c r="L20" s="11" t="str">
        <f aca="false">IF(J20="","",K20-G20)</f>
        <v/>
      </c>
      <c r="M20" s="15" t="str">
        <f aca="false">IF(OR(J20="",G20=0),"",L20/G20)</f>
        <v/>
      </c>
      <c r="N20" s="16"/>
    </row>
    <row r="21" customFormat="false" ht="15" hidden="false" customHeight="false" outlineLevel="0" collapsed="false">
      <c r="A21" s="5"/>
      <c r="B21" s="6" t="s">
        <v>59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7" t="n">
        <v>15</v>
      </c>
      <c r="B22" s="8" t="s">
        <v>60</v>
      </c>
      <c r="C22" s="8" t="s">
        <v>61</v>
      </c>
      <c r="D22" s="9" t="n">
        <v>1</v>
      </c>
      <c r="E22" s="7" t="s">
        <v>42</v>
      </c>
      <c r="F22" s="10" t="n">
        <v>8000000</v>
      </c>
      <c r="G22" s="11" t="n">
        <f aca="false">D22*F22</f>
        <v>8000000</v>
      </c>
      <c r="H22" s="7" t="s">
        <v>47</v>
      </c>
      <c r="I22" s="8" t="s">
        <v>48</v>
      </c>
      <c r="J22" s="14"/>
      <c r="K22" s="11" t="str">
        <f aca="false">IF(J22="","",D22*J22)</f>
        <v/>
      </c>
      <c r="L22" s="11" t="str">
        <f aca="false">IF(J22="","",K22-G22)</f>
        <v/>
      </c>
      <c r="M22" s="15" t="str">
        <f aca="false">IF(OR(J22="",G22=0),"",L22/G22)</f>
        <v/>
      </c>
      <c r="N22" s="16"/>
    </row>
    <row r="23" customFormat="false" ht="15" hidden="false" customHeight="false" outlineLevel="0" collapsed="false">
      <c r="A23" s="7" t="n">
        <v>16</v>
      </c>
      <c r="B23" s="8" t="s">
        <v>62</v>
      </c>
      <c r="C23" s="8" t="s">
        <v>63</v>
      </c>
      <c r="D23" s="9" t="n">
        <v>1</v>
      </c>
      <c r="E23" s="7" t="s">
        <v>64</v>
      </c>
      <c r="F23" s="10" t="n">
        <v>5000000</v>
      </c>
      <c r="G23" s="11" t="n">
        <f aca="false">D23*F23</f>
        <v>5000000</v>
      </c>
      <c r="H23" s="7" t="s">
        <v>47</v>
      </c>
      <c r="I23" s="8" t="s">
        <v>48</v>
      </c>
      <c r="J23" s="14"/>
      <c r="K23" s="11" t="str">
        <f aca="false">IF(J23="","",D23*J23)</f>
        <v/>
      </c>
      <c r="L23" s="11" t="str">
        <f aca="false">IF(J23="","",K23-G23)</f>
        <v/>
      </c>
      <c r="M23" s="15" t="str">
        <f aca="false">IF(OR(J23="",G23=0),"",L23/G23)</f>
        <v/>
      </c>
      <c r="N23" s="16"/>
    </row>
    <row r="24" customFormat="false" ht="15" hidden="false" customHeight="false" outlineLevel="0" collapsed="false">
      <c r="A24" s="7" t="n">
        <v>17</v>
      </c>
      <c r="B24" s="8" t="s">
        <v>65</v>
      </c>
      <c r="C24" s="8" t="s">
        <v>66</v>
      </c>
      <c r="D24" s="9" t="n">
        <v>1</v>
      </c>
      <c r="E24" s="7" t="s">
        <v>19</v>
      </c>
      <c r="F24" s="10" t="n">
        <v>2500000</v>
      </c>
      <c r="G24" s="11" t="n">
        <f aca="false">D24*F24</f>
        <v>2500000</v>
      </c>
      <c r="H24" s="7" t="s">
        <v>47</v>
      </c>
      <c r="I24" s="8" t="s">
        <v>48</v>
      </c>
      <c r="J24" s="14"/>
      <c r="K24" s="11" t="str">
        <f aca="false">IF(J24="","",D24*J24)</f>
        <v/>
      </c>
      <c r="L24" s="11" t="str">
        <f aca="false">IF(J24="","",K24-G24)</f>
        <v/>
      </c>
      <c r="M24" s="15" t="str">
        <f aca="false">IF(OR(J24="",G24=0),"",L24/G24)</f>
        <v/>
      </c>
      <c r="N24" s="16"/>
    </row>
    <row r="25" customFormat="false" ht="15" hidden="false" customHeight="false" outlineLevel="0" collapsed="false">
      <c r="A25" s="7" t="n">
        <v>18</v>
      </c>
      <c r="B25" s="8" t="s">
        <v>67</v>
      </c>
      <c r="C25" s="8"/>
      <c r="D25" s="9" t="n">
        <v>1</v>
      </c>
      <c r="E25" s="7" t="s">
        <v>64</v>
      </c>
      <c r="F25" s="10" t="n">
        <v>3000000</v>
      </c>
      <c r="G25" s="11" t="n">
        <f aca="false">D25*F25</f>
        <v>3000000</v>
      </c>
      <c r="H25" s="7" t="s">
        <v>47</v>
      </c>
      <c r="I25" s="8" t="s">
        <v>48</v>
      </c>
      <c r="J25" s="14"/>
      <c r="K25" s="11" t="str">
        <f aca="false">IF(J25="","",D25*J25)</f>
        <v/>
      </c>
      <c r="L25" s="11" t="str">
        <f aca="false">IF(J25="","",K25-G25)</f>
        <v/>
      </c>
      <c r="M25" s="15" t="str">
        <f aca="false">IF(OR(J25="",G25=0),"",L25/G25)</f>
        <v/>
      </c>
      <c r="N25" s="16"/>
    </row>
    <row r="26" customFormat="false" ht="15" hidden="false" customHeight="false" outlineLevel="0" collapsed="false">
      <c r="A26" s="7" t="n">
        <v>19</v>
      </c>
      <c r="B26" s="8" t="s">
        <v>68</v>
      </c>
      <c r="C26" s="8" t="s">
        <v>69</v>
      </c>
      <c r="D26" s="9" t="n">
        <v>1</v>
      </c>
      <c r="E26" s="7" t="s">
        <v>42</v>
      </c>
      <c r="F26" s="10" t="n">
        <v>1500000</v>
      </c>
      <c r="G26" s="11" t="n">
        <f aca="false">D26*F26</f>
        <v>1500000</v>
      </c>
      <c r="H26" s="7" t="s">
        <v>47</v>
      </c>
      <c r="I26" s="8" t="s">
        <v>48</v>
      </c>
      <c r="J26" s="14"/>
      <c r="K26" s="11" t="str">
        <f aca="false">IF(J26="","",D26*J26)</f>
        <v/>
      </c>
      <c r="L26" s="11" t="str">
        <f aca="false">IF(J26="","",K26-G26)</f>
        <v/>
      </c>
      <c r="M26" s="15" t="str">
        <f aca="false">IF(OR(J26="",G26=0),"",L26/G26)</f>
        <v/>
      </c>
      <c r="N26" s="16"/>
    </row>
    <row r="27" customFormat="false" ht="15" hidden="false" customHeight="false" outlineLevel="0" collapsed="false">
      <c r="A27" s="5"/>
      <c r="B27" s="6" t="s">
        <v>70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7" t="n">
        <v>20</v>
      </c>
      <c r="B28" s="8" t="s">
        <v>71</v>
      </c>
      <c r="C28" s="8" t="s">
        <v>72</v>
      </c>
      <c r="D28" s="9" t="n">
        <v>1</v>
      </c>
      <c r="E28" s="7" t="s">
        <v>73</v>
      </c>
      <c r="F28" s="10" t="n">
        <v>1000000</v>
      </c>
      <c r="G28" s="11" t="n">
        <f aca="false">D28*F28</f>
        <v>1000000</v>
      </c>
      <c r="H28" s="12" t="s">
        <v>20</v>
      </c>
      <c r="I28" s="13" t="s">
        <v>74</v>
      </c>
      <c r="J28" s="14"/>
      <c r="K28" s="11" t="str">
        <f aca="false">IF(J28="","",D28*J28)</f>
        <v/>
      </c>
      <c r="L28" s="11" t="str">
        <f aca="false">IF(J28="","",K28-G28)</f>
        <v/>
      </c>
      <c r="M28" s="15" t="str">
        <f aca="false">IF(OR(J28="",G28=0),"",L28/G28)</f>
        <v/>
      </c>
      <c r="N28" s="16"/>
    </row>
    <row r="29" customFormat="false" ht="26.85" hidden="false" customHeight="false" outlineLevel="0" collapsed="false">
      <c r="A29" s="7" t="n">
        <v>21</v>
      </c>
      <c r="B29" s="8" t="s">
        <v>75</v>
      </c>
      <c r="C29" s="8" t="s">
        <v>76</v>
      </c>
      <c r="D29" s="9" t="n">
        <v>1</v>
      </c>
      <c r="E29" s="7" t="s">
        <v>64</v>
      </c>
      <c r="F29" s="10" t="n">
        <v>2000000</v>
      </c>
      <c r="G29" s="11" t="n">
        <f aca="false">D29*F29</f>
        <v>2000000</v>
      </c>
      <c r="H29" s="7" t="s">
        <v>47</v>
      </c>
      <c r="I29" s="8" t="s">
        <v>48</v>
      </c>
      <c r="J29" s="14"/>
      <c r="K29" s="11" t="str">
        <f aca="false">IF(J29="","",D29*J29)</f>
        <v/>
      </c>
      <c r="L29" s="11" t="str">
        <f aca="false">IF(J29="","",K29-G29)</f>
        <v/>
      </c>
      <c r="M29" s="15" t="str">
        <f aca="false">IF(OR(J29="",G29=0),"",L29/G29)</f>
        <v/>
      </c>
      <c r="N29" s="16"/>
    </row>
    <row r="30" customFormat="false" ht="15" hidden="false" customHeight="false" outlineLevel="0" collapsed="false">
      <c r="A30" s="5"/>
      <c r="B30" s="6" t="s">
        <v>77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false" outlineLevel="0" collapsed="false">
      <c r="A31" s="7" t="n">
        <v>22</v>
      </c>
      <c r="B31" s="8" t="s">
        <v>78</v>
      </c>
      <c r="C31" s="8"/>
      <c r="D31" s="9" t="n">
        <v>1</v>
      </c>
      <c r="E31" s="7" t="s">
        <v>64</v>
      </c>
      <c r="F31" s="10" t="n">
        <v>2000000</v>
      </c>
      <c r="G31" s="11" t="n">
        <f aca="false">D31*F31</f>
        <v>2000000</v>
      </c>
      <c r="H31" s="7" t="s">
        <v>47</v>
      </c>
      <c r="I31" s="8" t="s">
        <v>48</v>
      </c>
      <c r="J31" s="14"/>
      <c r="K31" s="11" t="str">
        <f aca="false">IF(J31="","",D31*J31)</f>
        <v/>
      </c>
      <c r="L31" s="11" t="str">
        <f aca="false">IF(J31="","",K31-G31)</f>
        <v/>
      </c>
      <c r="M31" s="15" t="str">
        <f aca="false">IF(OR(J31="",G31=0),"",L31/G31)</f>
        <v/>
      </c>
      <c r="N31" s="16"/>
    </row>
    <row r="32" customFormat="false" ht="15" hidden="false" customHeight="false" outlineLevel="0" collapsed="false">
      <c r="A32" s="7" t="n">
        <v>23</v>
      </c>
      <c r="B32" s="8" t="s">
        <v>79</v>
      </c>
      <c r="C32" s="8"/>
      <c r="D32" s="9" t="n">
        <v>1</v>
      </c>
      <c r="E32" s="7" t="s">
        <v>80</v>
      </c>
      <c r="F32" s="10" t="n">
        <v>1000000</v>
      </c>
      <c r="G32" s="11" t="n">
        <f aca="false">D32*F32</f>
        <v>1000000</v>
      </c>
      <c r="H32" s="7" t="s">
        <v>47</v>
      </c>
      <c r="I32" s="8" t="s">
        <v>48</v>
      </c>
      <c r="J32" s="14"/>
      <c r="K32" s="11" t="str">
        <f aca="false">IF(J32="","",D32*J32)</f>
        <v/>
      </c>
      <c r="L32" s="11" t="str">
        <f aca="false">IF(J32="","",K32-G32)</f>
        <v/>
      </c>
      <c r="M32" s="15" t="str">
        <f aca="false">IF(OR(J32="",G32=0),"",L32/G32)</f>
        <v/>
      </c>
      <c r="N32" s="16"/>
    </row>
    <row r="33" customFormat="false" ht="15" hidden="false" customHeight="false" outlineLevel="0" collapsed="false">
      <c r="A33" s="7" t="n">
        <v>24</v>
      </c>
      <c r="B33" s="8" t="s">
        <v>81</v>
      </c>
      <c r="C33" s="8" t="s">
        <v>82</v>
      </c>
      <c r="D33" s="9" t="n">
        <v>1</v>
      </c>
      <c r="E33" s="7" t="s">
        <v>83</v>
      </c>
      <c r="F33" s="10" t="n">
        <v>2000000</v>
      </c>
      <c r="G33" s="11" t="n">
        <f aca="false">D33*F33</f>
        <v>2000000</v>
      </c>
      <c r="H33" s="7" t="s">
        <v>47</v>
      </c>
      <c r="I33" s="8" t="s">
        <v>48</v>
      </c>
      <c r="J33" s="14"/>
      <c r="K33" s="11" t="str">
        <f aca="false">IF(J33="","",D33*J33)</f>
        <v/>
      </c>
      <c r="L33" s="11" t="str">
        <f aca="false">IF(J33="","",K33-G33)</f>
        <v/>
      </c>
      <c r="M33" s="15" t="str">
        <f aca="false">IF(OR(J33="",G33=0),"",L33/G33)</f>
        <v/>
      </c>
      <c r="N33" s="16"/>
    </row>
    <row r="34" customFormat="false" ht="15" hidden="false" customHeight="false" outlineLevel="0" collapsed="false">
      <c r="A34" s="5"/>
      <c r="B34" s="6" t="s">
        <v>84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false" outlineLevel="0" collapsed="false">
      <c r="A35" s="7" t="n">
        <v>25</v>
      </c>
      <c r="B35" s="8" t="s">
        <v>85</v>
      </c>
      <c r="C35" s="8" t="s">
        <v>76</v>
      </c>
      <c r="D35" s="9" t="n">
        <v>1</v>
      </c>
      <c r="E35" s="7" t="s">
        <v>42</v>
      </c>
      <c r="F35" s="10" t="n">
        <v>1000000</v>
      </c>
      <c r="G35" s="11" t="n">
        <f aca="false">D35*F35</f>
        <v>1000000</v>
      </c>
      <c r="H35" s="7" t="s">
        <v>47</v>
      </c>
      <c r="I35" s="8" t="s">
        <v>48</v>
      </c>
      <c r="J35" s="14"/>
      <c r="K35" s="11" t="str">
        <f aca="false">IF(J35="","",D35*J35)</f>
        <v/>
      </c>
      <c r="L35" s="11" t="str">
        <f aca="false">IF(J35="","",K35-G35)</f>
        <v/>
      </c>
      <c r="M35" s="15" t="str">
        <f aca="false">IF(OR(J35="",G35=0),"",L35/G35)</f>
        <v/>
      </c>
      <c r="N35" s="16"/>
    </row>
    <row r="36" customFormat="false" ht="26.85" hidden="false" customHeight="false" outlineLevel="0" collapsed="false">
      <c r="A36" s="7" t="n">
        <v>26</v>
      </c>
      <c r="B36" s="8" t="s">
        <v>86</v>
      </c>
      <c r="C36" s="8" t="s">
        <v>87</v>
      </c>
      <c r="D36" s="9" t="n">
        <v>1</v>
      </c>
      <c r="E36" s="7" t="s">
        <v>19</v>
      </c>
      <c r="F36" s="10"/>
      <c r="G36" s="11" t="n">
        <f aca="false">D36*F36</f>
        <v>0</v>
      </c>
      <c r="H36" s="7" t="s">
        <v>47</v>
      </c>
      <c r="I36" s="8" t="s">
        <v>88</v>
      </c>
      <c r="J36" s="14"/>
      <c r="K36" s="11" t="str">
        <f aca="false">IF(J36="","",D36*J36)</f>
        <v/>
      </c>
      <c r="L36" s="11" t="str">
        <f aca="false">IF(J36="","",K36-G36)</f>
        <v/>
      </c>
      <c r="M36" s="15" t="str">
        <f aca="false">IF(OR(J36="",G36=0),"",L36/G36)</f>
        <v/>
      </c>
      <c r="N36" s="16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17" t="s">
        <v>89</v>
      </c>
      <c r="C38" s="2"/>
      <c r="D38" s="2"/>
      <c r="E38" s="2"/>
      <c r="F38" s="2"/>
      <c r="G38" s="18" t="n">
        <f aca="false">SUM(G5:G36)</f>
        <v>102660000</v>
      </c>
      <c r="H38" s="2"/>
      <c r="I38" s="2"/>
      <c r="J38" s="2"/>
      <c r="K38" s="18" t="n">
        <f aca="false">SUM(K5:K36)</f>
        <v>0</v>
      </c>
      <c r="L38" s="18" t="str">
        <f aca="false">IF(COUNT(J5:J36)=0,"",K38-SUMIF(J5:J36,"&lt;&gt;",G5:G36))</f>
        <v/>
      </c>
      <c r="M38" s="2"/>
      <c r="N38" s="7" t="s">
        <v>90</v>
      </c>
    </row>
    <row r="39" customFormat="false" ht="15" hidden="false" customHeight="false" outlineLevel="0" collapsed="false">
      <c r="A39" s="2"/>
      <c r="B39" s="7" t="s">
        <v>91</v>
      </c>
      <c r="C39" s="2"/>
      <c r="D39" s="2"/>
      <c r="E39" s="2"/>
      <c r="F39" s="2"/>
      <c r="G39" s="7" t="str">
        <f aca="false">COUNT(J5:J36)&amp;"/"&amp;COUNTA(B5:B36)-6</f>
        <v>0/26</v>
      </c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3" t="s">
        <v>92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3" t="s">
        <v>93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3" t="s">
        <v>94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</sheetData>
  <conditionalFormatting sqref="L5:M3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hyperlinks>
    <hyperlink ref="I6" r:id="rId1" display="https://thienbinhgroup.com/collections/tu-com"/>
    <hyperlink ref="I7" r:id="rId2" display="https://mayvatlongga.info/san-pham/lo-nuong-doi-luu-4-khay-dung-dien/"/>
    <hyperlink ref="I8" r:id="rId3" display="https://dienmaybepviet.vn/bep-chien-phang-bv"/>
    <hyperlink ref="I9" r:id="rId4" display="https://tucomcongnghiep.vn/san-pham/chao-rang-tu-dao/"/>
    <hyperlink ref="I10" r:id="rId5" display="https://maythucphamviet.com.vn/may-thai-rau-cu-qua-da-nang-yc-380-cao-cap-dien-220v-nhap-nguyen-chiec.html"/>
    <hyperlink ref="I11" r:id="rId6" display="https://www.dienmayxanh.com/tu-dong/sanaky-vh-3699w1"/>
    <hyperlink ref="I12" r:id="rId7" display="https://dienmaynewsun.com/tu-ham-nong-thuc-an"/>
    <hyperlink ref="I28" r:id="rId8" display="https://atvstp.org.vn/thu-tuc-cap-giay-phep-an-toan-ve-sinh-thuc-pha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4"/>
    <col collapsed="false" customWidth="true" hidden="false" outlineLevel="0" max="4" min="4" style="0" width="8"/>
    <col collapsed="false" customWidth="true" hidden="false" outlineLevel="0" max="7" min="5" style="0" width="13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45" hidden="false" customHeight="true" outlineLevel="0" collapsed="false">
      <c r="A4" s="4" t="s">
        <v>2</v>
      </c>
      <c r="B4" s="4" t="s">
        <v>3</v>
      </c>
      <c r="C4" s="4" t="s">
        <v>97</v>
      </c>
      <c r="D4" s="4" t="s">
        <v>6</v>
      </c>
      <c r="E4" s="4" t="s">
        <v>98</v>
      </c>
      <c r="F4" s="4" t="s">
        <v>99</v>
      </c>
      <c r="G4" s="4" t="s">
        <v>100</v>
      </c>
      <c r="H4" s="4" t="s">
        <v>9</v>
      </c>
      <c r="I4" s="4" t="s">
        <v>10</v>
      </c>
      <c r="J4" s="4" t="s">
        <v>101</v>
      </c>
      <c r="K4" s="4" t="s">
        <v>102</v>
      </c>
      <c r="L4" s="4" t="s">
        <v>14</v>
      </c>
      <c r="M4" s="4" t="s">
        <v>15</v>
      </c>
    </row>
    <row r="5" customFormat="false" ht="15" hidden="false" customHeight="false" outlineLevel="0" collapsed="false">
      <c r="A5" s="5"/>
      <c r="B5" s="6" t="s">
        <v>103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26.85" hidden="false" customHeight="false" outlineLevel="0" collapsed="false">
      <c r="A6" s="7" t="n">
        <v>1</v>
      </c>
      <c r="B6" s="8" t="s">
        <v>104</v>
      </c>
      <c r="C6" s="8"/>
      <c r="D6" s="7" t="s">
        <v>105</v>
      </c>
      <c r="E6" s="10" t="n">
        <v>62000</v>
      </c>
      <c r="F6" s="10" t="n">
        <v>91000</v>
      </c>
      <c r="G6" s="11" t="n">
        <f aca="false">IF(COUNT(E6:F6)=0,"",AVERAGE(E6:F6))</f>
        <v>76500</v>
      </c>
      <c r="H6" s="19" t="s">
        <v>20</v>
      </c>
      <c r="I6" s="8" t="s">
        <v>106</v>
      </c>
      <c r="J6" s="14"/>
      <c r="K6" s="11" t="str">
        <f aca="false">IF(OR(J6="",G6=""),"",J6-G6)</f>
        <v/>
      </c>
      <c r="L6" s="15" t="str">
        <f aca="false">IF(OR(J6="",G6="",G6=0),"",K6/G6)</f>
        <v/>
      </c>
      <c r="M6" s="16"/>
    </row>
    <row r="7" customFormat="false" ht="26.85" hidden="false" customHeight="false" outlineLevel="0" collapsed="false">
      <c r="A7" s="7" t="n">
        <v>2</v>
      </c>
      <c r="B7" s="8" t="s">
        <v>107</v>
      </c>
      <c r="C7" s="8"/>
      <c r="D7" s="7" t="s">
        <v>105</v>
      </c>
      <c r="E7" s="10" t="n">
        <v>51000</v>
      </c>
      <c r="F7" s="10" t="n">
        <v>64000</v>
      </c>
      <c r="G7" s="11" t="n">
        <f aca="false">IF(COUNT(E7:F7)=0,"",AVERAGE(E7:F7))</f>
        <v>57500</v>
      </c>
      <c r="H7" s="19" t="s">
        <v>20</v>
      </c>
      <c r="I7" s="8" t="s">
        <v>106</v>
      </c>
      <c r="J7" s="14"/>
      <c r="K7" s="11" t="str">
        <f aca="false">IF(OR(J7="",G7=""),"",J7-G7)</f>
        <v/>
      </c>
      <c r="L7" s="15" t="str">
        <f aca="false">IF(OR(J7="",G7="",G7=0),"",K7/G7)</f>
        <v/>
      </c>
      <c r="M7" s="16"/>
    </row>
    <row r="8" customFormat="false" ht="26.85" hidden="false" customHeight="false" outlineLevel="0" collapsed="false">
      <c r="A8" s="7" t="n">
        <v>3</v>
      </c>
      <c r="B8" s="8" t="s">
        <v>108</v>
      </c>
      <c r="C8" s="8"/>
      <c r="D8" s="7" t="s">
        <v>105</v>
      </c>
      <c r="E8" s="10" t="n">
        <v>95000</v>
      </c>
      <c r="F8" s="10" t="n">
        <v>110000</v>
      </c>
      <c r="G8" s="11" t="n">
        <f aca="false">IF(COUNT(E8:F8)=0,"",AVERAGE(E8:F8))</f>
        <v>102500</v>
      </c>
      <c r="H8" s="19" t="s">
        <v>20</v>
      </c>
      <c r="I8" s="8" t="s">
        <v>106</v>
      </c>
      <c r="J8" s="14"/>
      <c r="K8" s="11" t="str">
        <f aca="false">IF(OR(J8="",G8=""),"",J8-G8)</f>
        <v/>
      </c>
      <c r="L8" s="15" t="str">
        <f aca="false">IF(OR(J8="",G8="",G8=0),"",K8/G8)</f>
        <v/>
      </c>
      <c r="M8" s="16"/>
    </row>
    <row r="9" customFormat="false" ht="26.85" hidden="false" customHeight="false" outlineLevel="0" collapsed="false">
      <c r="A9" s="7" t="n">
        <v>4</v>
      </c>
      <c r="B9" s="8" t="s">
        <v>109</v>
      </c>
      <c r="C9" s="8" t="s">
        <v>110</v>
      </c>
      <c r="D9" s="7" t="s">
        <v>105</v>
      </c>
      <c r="E9" s="10" t="n">
        <v>67000</v>
      </c>
      <c r="F9" s="10" t="n">
        <v>67000</v>
      </c>
      <c r="G9" s="11" t="n">
        <f aca="false">IF(COUNT(E9:F9)=0,"",AVERAGE(E9:F9))</f>
        <v>67000</v>
      </c>
      <c r="H9" s="19" t="s">
        <v>20</v>
      </c>
      <c r="I9" s="8" t="s">
        <v>106</v>
      </c>
      <c r="J9" s="14"/>
      <c r="K9" s="11" t="str">
        <f aca="false">IF(OR(J9="",G9=""),"",J9-G9)</f>
        <v/>
      </c>
      <c r="L9" s="15" t="str">
        <f aca="false">IF(OR(J9="",G9="",G9=0),"",K9/G9)</f>
        <v/>
      </c>
      <c r="M9" s="16"/>
    </row>
    <row r="10" customFormat="false" ht="26.85" hidden="false" customHeight="false" outlineLevel="0" collapsed="false">
      <c r="A10" s="7" t="n">
        <v>5</v>
      </c>
      <c r="B10" s="8" t="s">
        <v>111</v>
      </c>
      <c r="C10" s="8"/>
      <c r="D10" s="7" t="s">
        <v>105</v>
      </c>
      <c r="E10" s="10" t="n">
        <v>200000</v>
      </c>
      <c r="F10" s="10" t="n">
        <v>300000</v>
      </c>
      <c r="G10" s="11" t="n">
        <f aca="false">IF(COUNT(E10:F10)=0,"",AVERAGE(E10:F10))</f>
        <v>250000</v>
      </c>
      <c r="H10" s="19" t="s">
        <v>20</v>
      </c>
      <c r="I10" s="8" t="s">
        <v>106</v>
      </c>
      <c r="J10" s="14"/>
      <c r="K10" s="11" t="str">
        <f aca="false">IF(OR(J10="",G10=""),"",J10-G10)</f>
        <v/>
      </c>
      <c r="L10" s="15" t="str">
        <f aca="false">IF(OR(J10="",G10="",G10=0),"",K10/G10)</f>
        <v/>
      </c>
      <c r="M10" s="16"/>
    </row>
    <row r="11" customFormat="false" ht="26.85" hidden="false" customHeight="false" outlineLevel="0" collapsed="false">
      <c r="A11" s="7" t="n">
        <v>6</v>
      </c>
      <c r="B11" s="8" t="s">
        <v>112</v>
      </c>
      <c r="C11" s="8" t="s">
        <v>113</v>
      </c>
      <c r="D11" s="7" t="s">
        <v>105</v>
      </c>
      <c r="E11" s="10" t="n">
        <v>15500</v>
      </c>
      <c r="F11" s="10" t="n">
        <v>19000</v>
      </c>
      <c r="G11" s="11" t="n">
        <f aca="false">IF(COUNT(E11:F11)=0,"",AVERAGE(E11:F11))</f>
        <v>17250</v>
      </c>
      <c r="H11" s="19" t="s">
        <v>20</v>
      </c>
      <c r="I11" s="8" t="s">
        <v>106</v>
      </c>
      <c r="J11" s="14"/>
      <c r="K11" s="11" t="str">
        <f aca="false">IF(OR(J11="",G11=""),"",J11-G11)</f>
        <v/>
      </c>
      <c r="L11" s="15" t="str">
        <f aca="false">IF(OR(J11="",G11="",G11=0),"",K11/G11)</f>
        <v/>
      </c>
      <c r="M11" s="16"/>
    </row>
    <row r="12" customFormat="false" ht="15" hidden="false" customHeight="false" outlineLevel="0" collapsed="false">
      <c r="A12" s="7" t="n">
        <v>7</v>
      </c>
      <c r="B12" s="8" t="s">
        <v>114</v>
      </c>
      <c r="C12" s="8" t="s">
        <v>115</v>
      </c>
      <c r="D12" s="7" t="s">
        <v>105</v>
      </c>
      <c r="E12" s="10"/>
      <c r="F12" s="10"/>
      <c r="G12" s="11" t="str">
        <f aca="false">IF(COUNT(E12:F12)=0,"",AVERAGE(E12:F12))</f>
        <v/>
      </c>
      <c r="H12" s="2" t="s">
        <v>47</v>
      </c>
      <c r="I12" s="8" t="s">
        <v>116</v>
      </c>
      <c r="J12" s="14"/>
      <c r="K12" s="11" t="str">
        <f aca="false">IF(OR(J12="",G12=""),"",J12-G12)</f>
        <v/>
      </c>
      <c r="L12" s="15" t="str">
        <f aca="false">IF(OR(J12="",G12="",G12=0),"",K12/G12)</f>
        <v/>
      </c>
      <c r="M12" s="16"/>
    </row>
    <row r="13" customFormat="false" ht="15" hidden="false" customHeight="false" outlineLevel="0" collapsed="false">
      <c r="A13" s="7" t="n">
        <v>8</v>
      </c>
      <c r="B13" s="8" t="s">
        <v>117</v>
      </c>
      <c r="C13" s="8"/>
      <c r="D13" s="7" t="s">
        <v>118</v>
      </c>
      <c r="E13" s="10"/>
      <c r="F13" s="10"/>
      <c r="G13" s="11" t="str">
        <f aca="false">IF(COUNT(E13:F13)=0,"",AVERAGE(E13:F13))</f>
        <v/>
      </c>
      <c r="H13" s="2" t="s">
        <v>47</v>
      </c>
      <c r="I13" s="8" t="s">
        <v>116</v>
      </c>
      <c r="J13" s="14"/>
      <c r="K13" s="11" t="str">
        <f aca="false">IF(OR(J13="",G13=""),"",J13-G13)</f>
        <v/>
      </c>
      <c r="L13" s="15" t="str">
        <f aca="false">IF(OR(J13="",G13="",G13=0),"",K13/G13)</f>
        <v/>
      </c>
      <c r="M13" s="16"/>
    </row>
    <row r="14" customFormat="false" ht="15" hidden="false" customHeight="false" outlineLevel="0" collapsed="false">
      <c r="A14" s="7" t="n">
        <v>9</v>
      </c>
      <c r="B14" s="8" t="s">
        <v>119</v>
      </c>
      <c r="C14" s="8" t="s">
        <v>120</v>
      </c>
      <c r="D14" s="7" t="s">
        <v>105</v>
      </c>
      <c r="E14" s="10"/>
      <c r="F14" s="10"/>
      <c r="G14" s="11" t="str">
        <f aca="false">IF(COUNT(E14:F14)=0,"",AVERAGE(E14:F14))</f>
        <v/>
      </c>
      <c r="H14" s="2" t="s">
        <v>47</v>
      </c>
      <c r="I14" s="8" t="s">
        <v>116</v>
      </c>
      <c r="J14" s="14"/>
      <c r="K14" s="11" t="str">
        <f aca="false">IF(OR(J14="",G14=""),"",J14-G14)</f>
        <v/>
      </c>
      <c r="L14" s="15" t="str">
        <f aca="false">IF(OR(J14="",G14="",G14=0),"",K14/G14)</f>
        <v/>
      </c>
      <c r="M14" s="16"/>
    </row>
    <row r="15" customFormat="false" ht="26.85" hidden="false" customHeight="false" outlineLevel="0" collapsed="false">
      <c r="A15" s="7" t="n">
        <v>10</v>
      </c>
      <c r="B15" s="8" t="s">
        <v>121</v>
      </c>
      <c r="C15" s="8"/>
      <c r="D15" s="7" t="s">
        <v>105</v>
      </c>
      <c r="E15" s="10"/>
      <c r="F15" s="10"/>
      <c r="G15" s="11" t="str">
        <f aca="false">IF(COUNT(E15:F15)=0,"",AVERAGE(E15:F15))</f>
        <v/>
      </c>
      <c r="H15" s="2" t="s">
        <v>47</v>
      </c>
      <c r="I15" s="8" t="s">
        <v>116</v>
      </c>
      <c r="J15" s="14"/>
      <c r="K15" s="11" t="str">
        <f aca="false">IF(OR(J15="",G15=""),"",J15-G15)</f>
        <v/>
      </c>
      <c r="L15" s="15" t="str">
        <f aca="false">IF(OR(J15="",G15="",G15=0),"",K15/G15)</f>
        <v/>
      </c>
      <c r="M15" s="16"/>
    </row>
    <row r="16" customFormat="false" ht="15" hidden="false" customHeight="false" outlineLevel="0" collapsed="false">
      <c r="A16" s="5"/>
      <c r="B16" s="6" t="s">
        <v>122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26.85" hidden="false" customHeight="false" outlineLevel="0" collapsed="false">
      <c r="A17" s="7" t="n">
        <v>11</v>
      </c>
      <c r="B17" s="8" t="s">
        <v>123</v>
      </c>
      <c r="C17" s="8" t="s">
        <v>124</v>
      </c>
      <c r="D17" s="7" t="s">
        <v>19</v>
      </c>
      <c r="E17" s="10" t="n">
        <v>2500</v>
      </c>
      <c r="F17" s="10" t="n">
        <v>2500</v>
      </c>
      <c r="G17" s="11" t="n">
        <f aca="false">IF(COUNT(E17:F17)=0,"",AVERAGE(E17:F17))</f>
        <v>2500</v>
      </c>
      <c r="H17" s="2" t="s">
        <v>47</v>
      </c>
      <c r="I17" s="8" t="s">
        <v>48</v>
      </c>
      <c r="J17" s="14"/>
      <c r="K17" s="11" t="str">
        <f aca="false">IF(OR(J17="",G17=""),"",J17-G17)</f>
        <v/>
      </c>
      <c r="L17" s="15" t="str">
        <f aca="false">IF(OR(J17="",G17="",G17=0),"",K17/G17)</f>
        <v/>
      </c>
      <c r="M17" s="16"/>
    </row>
    <row r="18" customFormat="false" ht="15" hidden="false" customHeight="false" outlineLevel="0" collapsed="false">
      <c r="A18" s="7" t="n">
        <v>12</v>
      </c>
      <c r="B18" s="8" t="s">
        <v>125</v>
      </c>
      <c r="C18" s="8"/>
      <c r="D18" s="7" t="s">
        <v>19</v>
      </c>
      <c r="E18" s="10" t="n">
        <v>600</v>
      </c>
      <c r="F18" s="10" t="n">
        <v>600</v>
      </c>
      <c r="G18" s="11" t="n">
        <f aca="false">IF(COUNT(E18:F18)=0,"",AVERAGE(E18:F18))</f>
        <v>600</v>
      </c>
      <c r="H18" s="2" t="s">
        <v>47</v>
      </c>
      <c r="I18" s="8" t="s">
        <v>48</v>
      </c>
      <c r="J18" s="14"/>
      <c r="K18" s="11" t="str">
        <f aca="false">IF(OR(J18="",G18=""),"",J18-G18)</f>
        <v/>
      </c>
      <c r="L18" s="15" t="str">
        <f aca="false">IF(OR(J18="",G18="",G18=0),"",K18/G18)</f>
        <v/>
      </c>
      <c r="M18" s="16"/>
    </row>
    <row r="19" customFormat="false" ht="15" hidden="false" customHeight="false" outlineLevel="0" collapsed="false">
      <c r="A19" s="7" t="n">
        <v>13</v>
      </c>
      <c r="B19" s="8" t="s">
        <v>126</v>
      </c>
      <c r="C19" s="8"/>
      <c r="D19" s="7" t="s">
        <v>19</v>
      </c>
      <c r="E19" s="10" t="n">
        <v>300</v>
      </c>
      <c r="F19" s="10" t="n">
        <v>300</v>
      </c>
      <c r="G19" s="11" t="n">
        <f aca="false">IF(COUNT(E19:F19)=0,"",AVERAGE(E19:F19))</f>
        <v>300</v>
      </c>
      <c r="H19" s="2" t="s">
        <v>47</v>
      </c>
      <c r="I19" s="8" t="s">
        <v>48</v>
      </c>
      <c r="J19" s="14"/>
      <c r="K19" s="11" t="str">
        <f aca="false">IF(OR(J19="",G19=""),"",J19-G19)</f>
        <v/>
      </c>
      <c r="L19" s="15" t="str">
        <f aca="false">IF(OR(J19="",G19="",G19=0),"",K19/G19)</f>
        <v/>
      </c>
      <c r="M19" s="16"/>
    </row>
    <row r="20" customFormat="false" ht="15" hidden="false" customHeight="false" outlineLevel="0" collapsed="false">
      <c r="A20" s="7" t="n">
        <v>14</v>
      </c>
      <c r="B20" s="8" t="s">
        <v>127</v>
      </c>
      <c r="C20" s="8"/>
      <c r="D20" s="7" t="s">
        <v>42</v>
      </c>
      <c r="E20" s="10" t="n">
        <v>600</v>
      </c>
      <c r="F20" s="10" t="n">
        <v>600</v>
      </c>
      <c r="G20" s="11" t="n">
        <f aca="false">IF(COUNT(E20:F20)=0,"",AVERAGE(E20:F20))</f>
        <v>600</v>
      </c>
      <c r="H20" s="2" t="s">
        <v>47</v>
      </c>
      <c r="I20" s="8" t="s">
        <v>48</v>
      </c>
      <c r="J20" s="14"/>
      <c r="K20" s="11" t="str">
        <f aca="false">IF(OR(J20="",G20=""),"",J20-G20)</f>
        <v/>
      </c>
      <c r="L20" s="15" t="str">
        <f aca="false">IF(OR(J20="",G20="",G20=0),"",K20/G20)</f>
        <v/>
      </c>
      <c r="M20" s="16"/>
    </row>
    <row r="21" customFormat="false" ht="15" hidden="false" customHeight="false" outlineLevel="0" collapsed="false">
      <c r="A21" s="5"/>
      <c r="B21" s="6" t="s">
        <v>128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A22" s="7" t="n">
        <v>15</v>
      </c>
      <c r="B22" s="8" t="s">
        <v>129</v>
      </c>
      <c r="C22" s="8" t="s">
        <v>130</v>
      </c>
      <c r="D22" s="7" t="s">
        <v>80</v>
      </c>
      <c r="E22" s="10" t="n">
        <v>5000000</v>
      </c>
      <c r="F22" s="10" t="n">
        <v>5000000</v>
      </c>
      <c r="G22" s="11" t="n">
        <f aca="false">IF(COUNT(E22:F22)=0,"",AVERAGE(E22:F22))</f>
        <v>5000000</v>
      </c>
      <c r="H22" s="2" t="s">
        <v>47</v>
      </c>
      <c r="I22" s="8" t="s">
        <v>48</v>
      </c>
      <c r="J22" s="14"/>
      <c r="K22" s="11" t="str">
        <f aca="false">IF(OR(J22="",G22=""),"",J22-G22)</f>
        <v/>
      </c>
      <c r="L22" s="15" t="str">
        <f aca="false">IF(OR(J22="",G22="",G22=0),"",K22/G22)</f>
        <v/>
      </c>
      <c r="M22" s="16"/>
    </row>
  </sheetData>
  <conditionalFormatting sqref="K5:L2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45" hidden="false" customHeight="true" outlineLevel="0" collapsed="false">
      <c r="A4" s="4" t="s">
        <v>2</v>
      </c>
      <c r="B4" s="4" t="s">
        <v>3</v>
      </c>
      <c r="C4" s="4" t="s">
        <v>132</v>
      </c>
      <c r="D4" s="4" t="s">
        <v>133</v>
      </c>
      <c r="E4" s="4" t="s">
        <v>9</v>
      </c>
      <c r="F4" s="4" t="s">
        <v>134</v>
      </c>
      <c r="G4" s="4" t="s">
        <v>135</v>
      </c>
      <c r="H4" s="4" t="s">
        <v>13</v>
      </c>
      <c r="I4" s="4" t="s">
        <v>14</v>
      </c>
      <c r="J4" s="4" t="s">
        <v>136</v>
      </c>
    </row>
    <row r="5" customFormat="false" ht="15" hidden="false" customHeight="false" outlineLevel="0" collapsed="false">
      <c r="A5" s="7" t="n">
        <v>1</v>
      </c>
      <c r="B5" s="8" t="s">
        <v>137</v>
      </c>
      <c r="C5" s="8" t="s">
        <v>138</v>
      </c>
      <c r="D5" s="10" t="n">
        <v>9000000</v>
      </c>
      <c r="E5" s="2" t="s">
        <v>139</v>
      </c>
      <c r="F5" s="8" t="s">
        <v>140</v>
      </c>
      <c r="G5" s="14"/>
      <c r="H5" s="11" t="str">
        <f aca="false">IF(OR(G5="",D5=""),"",G5-D5)</f>
        <v/>
      </c>
      <c r="I5" s="15" t="str">
        <f aca="false">IF(OR(G5="",D5="",D5=0),"",H5/D5)</f>
        <v/>
      </c>
      <c r="J5" s="16"/>
    </row>
    <row r="6" customFormat="false" ht="26.85" hidden="false" customHeight="false" outlineLevel="0" collapsed="false">
      <c r="A6" s="7" t="n">
        <v>2</v>
      </c>
      <c r="B6" s="8" t="s">
        <v>141</v>
      </c>
      <c r="C6" s="8" t="s">
        <v>142</v>
      </c>
      <c r="D6" s="10" t="n">
        <v>5000000</v>
      </c>
      <c r="E6" s="2" t="s">
        <v>47</v>
      </c>
      <c r="F6" s="8" t="s">
        <v>143</v>
      </c>
      <c r="G6" s="14"/>
      <c r="H6" s="11" t="str">
        <f aca="false">IF(OR(G6="",D6=""),"",G6-D6)</f>
        <v/>
      </c>
      <c r="I6" s="15" t="str">
        <f aca="false">IF(OR(G6="",D6="",D6=0),"",H6/D6)</f>
        <v/>
      </c>
      <c r="J6" s="16"/>
    </row>
    <row r="7" customFormat="false" ht="15" hidden="false" customHeight="false" outlineLevel="0" collapsed="false">
      <c r="A7" s="7" t="n">
        <v>3</v>
      </c>
      <c r="B7" s="8" t="s">
        <v>144</v>
      </c>
      <c r="C7" s="8" t="s">
        <v>145</v>
      </c>
      <c r="D7" s="10" t="n">
        <v>450000</v>
      </c>
      <c r="E7" s="19" t="s">
        <v>20</v>
      </c>
      <c r="F7" s="13" t="s">
        <v>146</v>
      </c>
      <c r="G7" s="14"/>
      <c r="H7" s="11" t="str">
        <f aca="false">IF(OR(G7="",D7=""),"",G7-D7)</f>
        <v/>
      </c>
      <c r="I7" s="15" t="str">
        <f aca="false">IF(OR(G7="",D7="",D7=0),"",H7/D7)</f>
        <v/>
      </c>
      <c r="J7" s="16"/>
    </row>
    <row r="8" customFormat="false" ht="15" hidden="false" customHeight="false" outlineLevel="0" collapsed="false">
      <c r="A8" s="7" t="n">
        <v>4</v>
      </c>
      <c r="B8" s="8" t="s">
        <v>147</v>
      </c>
      <c r="C8" s="8" t="s">
        <v>148</v>
      </c>
      <c r="D8" s="20" t="n">
        <f aca="false">1000000/12</f>
        <v>83333.3333333333</v>
      </c>
      <c r="E8" s="19" t="s">
        <v>20</v>
      </c>
      <c r="F8" s="8" t="s">
        <v>43</v>
      </c>
      <c r="G8" s="14"/>
      <c r="H8" s="11" t="str">
        <f aca="false">IF(OR(G8="",D8=""),"",G8-D8)</f>
        <v/>
      </c>
      <c r="I8" s="15" t="str">
        <f aca="false">IF(OR(G8="",D8="",D8=0),"",H8/D8)</f>
        <v/>
      </c>
      <c r="J8" s="16"/>
    </row>
    <row r="9" customFormat="false" ht="26.85" hidden="false" customHeight="false" outlineLevel="0" collapsed="false">
      <c r="A9" s="7" t="n">
        <v>5</v>
      </c>
      <c r="B9" s="8" t="s">
        <v>149</v>
      </c>
      <c r="C9" s="8" t="s">
        <v>150</v>
      </c>
      <c r="D9" s="10"/>
      <c r="E9" s="19" t="s">
        <v>20</v>
      </c>
      <c r="F9" s="13" t="s">
        <v>151</v>
      </c>
      <c r="G9" s="14"/>
      <c r="H9" s="11" t="str">
        <f aca="false">IF(OR(G9="",D9=""),"",G9-D9)</f>
        <v/>
      </c>
      <c r="I9" s="15" t="str">
        <f aca="false">IF(OR(G9="",D9="",D9=0),"",H9/D9)</f>
        <v/>
      </c>
      <c r="J9" s="16"/>
    </row>
    <row r="10" customFormat="false" ht="15" hidden="false" customHeight="false" outlineLevel="0" collapsed="false">
      <c r="A10" s="7" t="n">
        <v>6</v>
      </c>
      <c r="B10" s="8" t="s">
        <v>152</v>
      </c>
      <c r="C10" s="8" t="s">
        <v>153</v>
      </c>
      <c r="D10" s="10" t="n">
        <v>1500000</v>
      </c>
      <c r="E10" s="2" t="s">
        <v>47</v>
      </c>
      <c r="F10" s="8" t="s">
        <v>48</v>
      </c>
      <c r="G10" s="14"/>
      <c r="H10" s="11" t="str">
        <f aca="false">IF(OR(G10="",D10=""),"",G10-D10)</f>
        <v/>
      </c>
      <c r="I10" s="15" t="str">
        <f aca="false">IF(OR(G10="",D10="",D10=0),"",H10/D10)</f>
        <v/>
      </c>
      <c r="J10" s="16"/>
    </row>
    <row r="11" customFormat="false" ht="26.85" hidden="false" customHeight="false" outlineLevel="0" collapsed="false">
      <c r="A11" s="7" t="n">
        <v>7</v>
      </c>
      <c r="B11" s="8" t="s">
        <v>154</v>
      </c>
      <c r="C11" s="8"/>
      <c r="D11" s="10" t="n">
        <v>2000000</v>
      </c>
      <c r="E11" s="2" t="s">
        <v>47</v>
      </c>
      <c r="F11" s="8" t="s">
        <v>48</v>
      </c>
      <c r="G11" s="14"/>
      <c r="H11" s="11" t="str">
        <f aca="false">IF(OR(G11="",D11=""),"",G11-D11)</f>
        <v/>
      </c>
      <c r="I11" s="15" t="str">
        <f aca="false">IF(OR(G11="",D11="",D11=0),"",H11/D11)</f>
        <v/>
      </c>
      <c r="J11" s="16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2"/>
      <c r="B13" s="17" t="s">
        <v>89</v>
      </c>
      <c r="C13" s="2"/>
      <c r="D13" s="18" t="n">
        <f aca="false">SUM(D5:D11)</f>
        <v>18033333.3333333</v>
      </c>
      <c r="E13" s="2"/>
      <c r="F13" s="2"/>
      <c r="G13" s="18" t="n">
        <f aca="false">SUM(G5:G11)</f>
        <v>0</v>
      </c>
      <c r="H13" s="2"/>
      <c r="I13" s="2"/>
      <c r="J13" s="2"/>
    </row>
  </sheetData>
  <conditionalFormatting sqref="H5:I1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hyperlinks>
    <hyperlink ref="F7" r:id="rId1" display="https://sepay.vn/bang-gia.html"/>
    <hyperlink ref="F9" r:id="rId2" display="https://v9.com.vn/bang-bao-gia-zalo-zn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2026-10-13T10:45:58Z</dcterms:created>
  <dc:creator>openpyxl</dc:creator>
  <dc:description/>
  <dc:language>en-US</dc:language>
  <cp:lastModifiedBy/>
  <dcterms:modified xsi:type="dcterms:W3CDTF">2026-10-13T10:45:58Z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